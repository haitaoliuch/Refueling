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559193e387bca382/SharedCode/GPUCB/"/>
    </mc:Choice>
  </mc:AlternateContent>
  <xr:revisionPtr revIDLastSave="662" documentId="13_ncr:1_{DA2223ED-64CB-4787-822F-5786AD7D54D6}" xr6:coauthVersionLast="47" xr6:coauthVersionMax="47" xr10:uidLastSave="{CC6CF187-BF7F-4124-95C6-45B84331715D}"/>
  <bookViews>
    <workbookView xWindow="-108" yWindow="-108" windowWidth="30936" windowHeight="16896" activeTab="3" xr2:uid="{00000000-000D-0000-FFFF-FFFF00000000}"/>
  </bookViews>
  <sheets>
    <sheet name="dataInManu" sheetId="5" r:id="rId1"/>
    <sheet name="Sheet1" sheetId="1" r:id="rId2"/>
    <sheet name="Sheet2" sheetId="2" r:id="rId3"/>
    <sheet name="GPRS" sheetId="6" r:id="rId4"/>
    <sheet name="Sheet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6" l="1"/>
  <c r="F96" i="6"/>
  <c r="G96" i="6"/>
  <c r="H96" i="6"/>
  <c r="I96" i="6"/>
  <c r="J96" i="6"/>
  <c r="K96" i="6"/>
  <c r="L96" i="6"/>
  <c r="M96" i="6"/>
  <c r="D96" i="6"/>
  <c r="N95" i="6"/>
  <c r="N96" i="6" s="1"/>
  <c r="M90" i="6"/>
  <c r="L90" i="6"/>
  <c r="K90" i="6"/>
  <c r="J90" i="6"/>
  <c r="I90" i="6"/>
  <c r="H90" i="6"/>
  <c r="G90" i="6"/>
  <c r="F90" i="6"/>
  <c r="E90" i="6"/>
  <c r="D90" i="6"/>
  <c r="N89" i="6"/>
  <c r="N88" i="6"/>
  <c r="M61" i="6"/>
  <c r="L61" i="6"/>
  <c r="K61" i="6"/>
  <c r="J61" i="6"/>
  <c r="I61" i="6"/>
  <c r="H61" i="6"/>
  <c r="G61" i="6"/>
  <c r="F61" i="6"/>
  <c r="E61" i="6"/>
  <c r="D61" i="6"/>
  <c r="N60" i="6"/>
  <c r="M59" i="6"/>
  <c r="L59" i="6"/>
  <c r="K59" i="6"/>
  <c r="J59" i="6"/>
  <c r="I59" i="6"/>
  <c r="H59" i="6"/>
  <c r="G59" i="6"/>
  <c r="F59" i="6"/>
  <c r="E59" i="6"/>
  <c r="D59" i="6"/>
  <c r="N58" i="6"/>
  <c r="M57" i="6"/>
  <c r="L57" i="6"/>
  <c r="K57" i="6"/>
  <c r="J57" i="6"/>
  <c r="I57" i="6"/>
  <c r="H57" i="6"/>
  <c r="G57" i="6"/>
  <c r="F57" i="6"/>
  <c r="E57" i="6"/>
  <c r="D57" i="6"/>
  <c r="N56" i="6"/>
  <c r="N55" i="6"/>
  <c r="N65" i="6"/>
  <c r="N68" i="6"/>
  <c r="D69" i="6"/>
  <c r="E69" i="6"/>
  <c r="F69" i="6"/>
  <c r="G69" i="6"/>
  <c r="H69" i="6"/>
  <c r="I69" i="6"/>
  <c r="J69" i="6"/>
  <c r="K69" i="6"/>
  <c r="L69" i="6"/>
  <c r="M69" i="6"/>
  <c r="M54" i="6"/>
  <c r="L54" i="6"/>
  <c r="K54" i="6"/>
  <c r="J54" i="6"/>
  <c r="I54" i="6"/>
  <c r="H54" i="6"/>
  <c r="G54" i="6"/>
  <c r="F54" i="6"/>
  <c r="E54" i="6"/>
  <c r="D54" i="6"/>
  <c r="N53" i="6"/>
  <c r="M52" i="6"/>
  <c r="L52" i="6"/>
  <c r="K52" i="6"/>
  <c r="J52" i="6"/>
  <c r="I52" i="6"/>
  <c r="H52" i="6"/>
  <c r="G52" i="6"/>
  <c r="F52" i="6"/>
  <c r="E52" i="6"/>
  <c r="D52" i="6"/>
  <c r="N51" i="6"/>
  <c r="M50" i="6"/>
  <c r="L50" i="6"/>
  <c r="K50" i="6"/>
  <c r="J50" i="6"/>
  <c r="I50" i="6"/>
  <c r="H50" i="6"/>
  <c r="G50" i="6"/>
  <c r="F50" i="6"/>
  <c r="E50" i="6"/>
  <c r="D50" i="6"/>
  <c r="N49" i="6"/>
  <c r="N48" i="6"/>
  <c r="E43" i="6"/>
  <c r="F43" i="6"/>
  <c r="G43" i="6"/>
  <c r="H43" i="6"/>
  <c r="I43" i="6"/>
  <c r="J43" i="6"/>
  <c r="K43" i="6"/>
  <c r="L43" i="6"/>
  <c r="M43" i="6"/>
  <c r="D43" i="6"/>
  <c r="N42" i="6"/>
  <c r="E36" i="6"/>
  <c r="F36" i="6"/>
  <c r="G36" i="6"/>
  <c r="H36" i="6"/>
  <c r="I36" i="6"/>
  <c r="J36" i="6"/>
  <c r="K36" i="6"/>
  <c r="L36" i="6"/>
  <c r="M36" i="6"/>
  <c r="D36" i="6"/>
  <c r="N35" i="6"/>
  <c r="E26" i="6"/>
  <c r="F26" i="6"/>
  <c r="G26" i="6"/>
  <c r="H26" i="6"/>
  <c r="I26" i="6"/>
  <c r="J26" i="6"/>
  <c r="K26" i="6"/>
  <c r="L26" i="6"/>
  <c r="M26" i="6"/>
  <c r="D26" i="6"/>
  <c r="N25" i="6"/>
  <c r="E19" i="6"/>
  <c r="F19" i="6"/>
  <c r="G19" i="6"/>
  <c r="H19" i="6"/>
  <c r="I19" i="6"/>
  <c r="J19" i="6"/>
  <c r="K19" i="6"/>
  <c r="L19" i="6"/>
  <c r="M19" i="6"/>
  <c r="D19" i="6"/>
  <c r="N18" i="6"/>
  <c r="E12" i="6"/>
  <c r="F12" i="6"/>
  <c r="G12" i="6"/>
  <c r="H12" i="6"/>
  <c r="I12" i="6"/>
  <c r="J12" i="6"/>
  <c r="K12" i="6"/>
  <c r="L12" i="6"/>
  <c r="M12" i="6"/>
  <c r="D12" i="6"/>
  <c r="N11" i="6"/>
  <c r="N4" i="6"/>
  <c r="E5" i="6"/>
  <c r="F5" i="6"/>
  <c r="G5" i="6"/>
  <c r="H5" i="6"/>
  <c r="I5" i="6"/>
  <c r="J5" i="6"/>
  <c r="K5" i="6"/>
  <c r="L5" i="6"/>
  <c r="M5" i="6"/>
  <c r="D5" i="6"/>
  <c r="N3" i="6"/>
  <c r="N6" i="6"/>
  <c r="D7" i="6"/>
  <c r="E7" i="6"/>
  <c r="F7" i="6"/>
  <c r="G7" i="6"/>
  <c r="H7" i="6"/>
  <c r="I7" i="6"/>
  <c r="J7" i="6"/>
  <c r="K7" i="6"/>
  <c r="L7" i="6"/>
  <c r="M7" i="6"/>
  <c r="N8" i="6"/>
  <c r="D9" i="6"/>
  <c r="E9" i="6"/>
  <c r="F9" i="6"/>
  <c r="G9" i="6"/>
  <c r="H9" i="6"/>
  <c r="I9" i="6"/>
  <c r="J9" i="6"/>
  <c r="K9" i="6"/>
  <c r="L9" i="6"/>
  <c r="M9" i="6"/>
  <c r="N10" i="6"/>
  <c r="N13" i="6"/>
  <c r="D14" i="6"/>
  <c r="E14" i="6"/>
  <c r="F14" i="6"/>
  <c r="G14" i="6"/>
  <c r="H14" i="6"/>
  <c r="I14" i="6"/>
  <c r="J14" i="6"/>
  <c r="K14" i="6"/>
  <c r="L14" i="6"/>
  <c r="M14" i="6"/>
  <c r="N15" i="6"/>
  <c r="D16" i="6"/>
  <c r="E16" i="6"/>
  <c r="F16" i="6"/>
  <c r="G16" i="6"/>
  <c r="H16" i="6"/>
  <c r="I16" i="6"/>
  <c r="J16" i="6"/>
  <c r="K16" i="6"/>
  <c r="L16" i="6"/>
  <c r="M16" i="6"/>
  <c r="N17" i="6"/>
  <c r="N20" i="6"/>
  <c r="M21" i="6"/>
  <c r="M100" i="6"/>
  <c r="L100" i="6"/>
  <c r="K100" i="6"/>
  <c r="J100" i="6"/>
  <c r="I100" i="6"/>
  <c r="H100" i="6"/>
  <c r="G100" i="6"/>
  <c r="F100" i="6"/>
  <c r="E100" i="6"/>
  <c r="D100" i="6"/>
  <c r="M98" i="6"/>
  <c r="L98" i="6"/>
  <c r="K98" i="6"/>
  <c r="J98" i="6"/>
  <c r="I98" i="6"/>
  <c r="H98" i="6"/>
  <c r="G98" i="6"/>
  <c r="F98" i="6"/>
  <c r="E98" i="6"/>
  <c r="D98" i="6"/>
  <c r="N99" i="6" s="1"/>
  <c r="N97" i="6"/>
  <c r="N94" i="6"/>
  <c r="M87" i="6"/>
  <c r="L87" i="6"/>
  <c r="K87" i="6"/>
  <c r="J87" i="6"/>
  <c r="I87" i="6"/>
  <c r="H87" i="6"/>
  <c r="G87" i="6"/>
  <c r="F87" i="6"/>
  <c r="E87" i="6"/>
  <c r="D87" i="6"/>
  <c r="N86" i="6"/>
  <c r="N85" i="6"/>
  <c r="M77" i="6"/>
  <c r="L77" i="6"/>
  <c r="K77" i="6"/>
  <c r="J77" i="6"/>
  <c r="I77" i="6"/>
  <c r="H77" i="6"/>
  <c r="G77" i="6"/>
  <c r="F77" i="6"/>
  <c r="E77" i="6"/>
  <c r="D77" i="6"/>
  <c r="N76" i="6"/>
  <c r="M75" i="6"/>
  <c r="L75" i="6"/>
  <c r="K75" i="6"/>
  <c r="J75" i="6"/>
  <c r="I75" i="6"/>
  <c r="H75" i="6"/>
  <c r="G75" i="6"/>
  <c r="F75" i="6"/>
  <c r="E75" i="6"/>
  <c r="D75" i="6"/>
  <c r="N74" i="6"/>
  <c r="N73" i="6"/>
  <c r="M71" i="6"/>
  <c r="L71" i="6"/>
  <c r="K71" i="6"/>
  <c r="J71" i="6"/>
  <c r="I71" i="6"/>
  <c r="H71" i="6"/>
  <c r="G71" i="6"/>
  <c r="F71" i="6"/>
  <c r="E71" i="6"/>
  <c r="D71" i="6"/>
  <c r="N70" i="6"/>
  <c r="M47" i="6"/>
  <c r="L47" i="6"/>
  <c r="K47" i="6"/>
  <c r="J47" i="6"/>
  <c r="I47" i="6"/>
  <c r="H47" i="6"/>
  <c r="G47" i="6"/>
  <c r="F47" i="6"/>
  <c r="E47" i="6"/>
  <c r="D47" i="6"/>
  <c r="N46" i="6"/>
  <c r="M45" i="6"/>
  <c r="L45" i="6"/>
  <c r="K45" i="6"/>
  <c r="J45" i="6"/>
  <c r="I45" i="6"/>
  <c r="H45" i="6"/>
  <c r="G45" i="6"/>
  <c r="F45" i="6"/>
  <c r="E45" i="6"/>
  <c r="D45" i="6"/>
  <c r="N44" i="6"/>
  <c r="N41" i="6"/>
  <c r="M40" i="6"/>
  <c r="L40" i="6"/>
  <c r="K40" i="6"/>
  <c r="J40" i="6"/>
  <c r="I40" i="6"/>
  <c r="H40" i="6"/>
  <c r="G40" i="6"/>
  <c r="F40" i="6"/>
  <c r="E40" i="6"/>
  <c r="D40" i="6"/>
  <c r="N39" i="6"/>
  <c r="M38" i="6"/>
  <c r="L38" i="6"/>
  <c r="K38" i="6"/>
  <c r="J38" i="6"/>
  <c r="I38" i="6"/>
  <c r="H38" i="6"/>
  <c r="G38" i="6"/>
  <c r="F38" i="6"/>
  <c r="E38" i="6"/>
  <c r="D38" i="6"/>
  <c r="N37" i="6"/>
  <c r="N34" i="6"/>
  <c r="M30" i="6"/>
  <c r="L30" i="6"/>
  <c r="K30" i="6"/>
  <c r="J30" i="6"/>
  <c r="I30" i="6"/>
  <c r="H30" i="6"/>
  <c r="G30" i="6"/>
  <c r="F30" i="6"/>
  <c r="E30" i="6"/>
  <c r="D30" i="6"/>
  <c r="N29" i="6"/>
  <c r="M28" i="6"/>
  <c r="L28" i="6"/>
  <c r="K28" i="6"/>
  <c r="J28" i="6"/>
  <c r="I28" i="6"/>
  <c r="H28" i="6"/>
  <c r="G28" i="6"/>
  <c r="F28" i="6"/>
  <c r="E28" i="6"/>
  <c r="D28" i="6"/>
  <c r="N27" i="6"/>
  <c r="N24" i="6"/>
  <c r="M23" i="6"/>
  <c r="L23" i="6"/>
  <c r="K23" i="6"/>
  <c r="J23" i="6"/>
  <c r="I23" i="6"/>
  <c r="H23" i="6"/>
  <c r="G23" i="6"/>
  <c r="F23" i="6"/>
  <c r="E23" i="6"/>
  <c r="D23" i="6"/>
  <c r="N22" i="6"/>
  <c r="L21" i="6"/>
  <c r="K21" i="6"/>
  <c r="J21" i="6"/>
  <c r="I21" i="6"/>
  <c r="H21" i="6"/>
  <c r="G21" i="6"/>
  <c r="F21" i="6"/>
  <c r="E21" i="6"/>
  <c r="D21" i="6"/>
  <c r="M98" i="5"/>
  <c r="L98" i="5"/>
  <c r="K98" i="5"/>
  <c r="J98" i="5"/>
  <c r="I98" i="5"/>
  <c r="H98" i="5"/>
  <c r="G98" i="5"/>
  <c r="F98" i="5"/>
  <c r="E98" i="5"/>
  <c r="D98" i="5"/>
  <c r="N97" i="5"/>
  <c r="N96" i="5"/>
  <c r="D95" i="5"/>
  <c r="E95" i="5"/>
  <c r="F95" i="5"/>
  <c r="G95" i="5"/>
  <c r="H95" i="5"/>
  <c r="I95" i="5"/>
  <c r="J95" i="5"/>
  <c r="K95" i="5"/>
  <c r="L95" i="5"/>
  <c r="M95" i="5"/>
  <c r="D78" i="5"/>
  <c r="D80" i="5"/>
  <c r="D83" i="5"/>
  <c r="D85" i="5"/>
  <c r="N84" i="5"/>
  <c r="E85" i="5"/>
  <c r="F85" i="5"/>
  <c r="G85" i="5"/>
  <c r="H85" i="5"/>
  <c r="I85" i="5"/>
  <c r="J85" i="5"/>
  <c r="K85" i="5"/>
  <c r="L85" i="5"/>
  <c r="M85" i="5"/>
  <c r="N93" i="5"/>
  <c r="M117" i="5"/>
  <c r="L117" i="5"/>
  <c r="K117" i="5"/>
  <c r="J117" i="5"/>
  <c r="I117" i="5"/>
  <c r="H117" i="5"/>
  <c r="G117" i="5"/>
  <c r="F117" i="5"/>
  <c r="E117" i="5"/>
  <c r="D117" i="5"/>
  <c r="N116" i="5"/>
  <c r="M115" i="5"/>
  <c r="L115" i="5"/>
  <c r="K115" i="5"/>
  <c r="J115" i="5"/>
  <c r="I115" i="5"/>
  <c r="H115" i="5"/>
  <c r="G115" i="5"/>
  <c r="F115" i="5"/>
  <c r="E115" i="5"/>
  <c r="D115" i="5"/>
  <c r="N114" i="5"/>
  <c r="N113" i="5"/>
  <c r="M112" i="5"/>
  <c r="L112" i="5"/>
  <c r="K112" i="5"/>
  <c r="J112" i="5"/>
  <c r="I112" i="5"/>
  <c r="H112" i="5"/>
  <c r="G112" i="5"/>
  <c r="F112" i="5"/>
  <c r="E112" i="5"/>
  <c r="D112" i="5"/>
  <c r="N111" i="5"/>
  <c r="M110" i="5"/>
  <c r="L110" i="5"/>
  <c r="K110" i="5"/>
  <c r="J110" i="5"/>
  <c r="I110" i="5"/>
  <c r="H110" i="5"/>
  <c r="G110" i="5"/>
  <c r="F110" i="5"/>
  <c r="E110" i="5"/>
  <c r="D110" i="5"/>
  <c r="N109" i="5"/>
  <c r="N108" i="5"/>
  <c r="N94" i="5"/>
  <c r="M83" i="5"/>
  <c r="L83" i="5"/>
  <c r="K83" i="5"/>
  <c r="J83" i="5"/>
  <c r="I83" i="5"/>
  <c r="H83" i="5"/>
  <c r="G83" i="5"/>
  <c r="F83" i="5"/>
  <c r="E83" i="5"/>
  <c r="N82" i="5"/>
  <c r="N81" i="5"/>
  <c r="M80" i="5"/>
  <c r="L80" i="5"/>
  <c r="K80" i="5"/>
  <c r="J80" i="5"/>
  <c r="I80" i="5"/>
  <c r="H80" i="5"/>
  <c r="G80" i="5"/>
  <c r="F80" i="5"/>
  <c r="E80" i="5"/>
  <c r="N79" i="5"/>
  <c r="M78" i="5"/>
  <c r="L78" i="5"/>
  <c r="K78" i="5"/>
  <c r="J78" i="5"/>
  <c r="I78" i="5"/>
  <c r="H78" i="5"/>
  <c r="G78" i="5"/>
  <c r="F78" i="5"/>
  <c r="E78" i="5"/>
  <c r="N77" i="5"/>
  <c r="N76" i="5"/>
  <c r="M75" i="5"/>
  <c r="L75" i="5"/>
  <c r="K75" i="5"/>
  <c r="J75" i="5"/>
  <c r="I75" i="5"/>
  <c r="H75" i="5"/>
  <c r="G75" i="5"/>
  <c r="F75" i="5"/>
  <c r="E75" i="5"/>
  <c r="D75" i="5"/>
  <c r="N74" i="5"/>
  <c r="M73" i="5"/>
  <c r="L73" i="5"/>
  <c r="K73" i="5"/>
  <c r="J73" i="5"/>
  <c r="I73" i="5"/>
  <c r="H73" i="5"/>
  <c r="G73" i="5"/>
  <c r="F73" i="5"/>
  <c r="E73" i="5"/>
  <c r="D73" i="5"/>
  <c r="N72" i="5"/>
  <c r="N71" i="5"/>
  <c r="M70" i="5"/>
  <c r="L70" i="5"/>
  <c r="K70" i="5"/>
  <c r="J70" i="5"/>
  <c r="I70" i="5"/>
  <c r="H70" i="5"/>
  <c r="G70" i="5"/>
  <c r="F70" i="5"/>
  <c r="E70" i="5"/>
  <c r="D70" i="5"/>
  <c r="N69" i="5"/>
  <c r="M68" i="5"/>
  <c r="L68" i="5"/>
  <c r="K68" i="5"/>
  <c r="J68" i="5"/>
  <c r="I68" i="5"/>
  <c r="H68" i="5"/>
  <c r="G68" i="5"/>
  <c r="F68" i="5"/>
  <c r="E68" i="5"/>
  <c r="D68" i="5"/>
  <c r="N67" i="5"/>
  <c r="N66" i="5"/>
  <c r="M56" i="5"/>
  <c r="L56" i="5"/>
  <c r="K56" i="5"/>
  <c r="J56" i="5"/>
  <c r="I56" i="5"/>
  <c r="H56" i="5"/>
  <c r="G56" i="5"/>
  <c r="F56" i="5"/>
  <c r="E56" i="5"/>
  <c r="D56" i="5"/>
  <c r="N55" i="5"/>
  <c r="M54" i="5"/>
  <c r="L54" i="5"/>
  <c r="K54" i="5"/>
  <c r="J54" i="5"/>
  <c r="I54" i="5"/>
  <c r="H54" i="5"/>
  <c r="G54" i="5"/>
  <c r="F54" i="5"/>
  <c r="E54" i="5"/>
  <c r="D54" i="5"/>
  <c r="N53" i="5"/>
  <c r="N52" i="5"/>
  <c r="M51" i="5"/>
  <c r="L51" i="5"/>
  <c r="K51" i="5"/>
  <c r="J51" i="5"/>
  <c r="I51" i="5"/>
  <c r="H51" i="5"/>
  <c r="G51" i="5"/>
  <c r="F51" i="5"/>
  <c r="E51" i="5"/>
  <c r="D51" i="5"/>
  <c r="N50" i="5"/>
  <c r="M49" i="5"/>
  <c r="L49" i="5"/>
  <c r="K49" i="5"/>
  <c r="J49" i="5"/>
  <c r="I49" i="5"/>
  <c r="H49" i="5"/>
  <c r="G49" i="5"/>
  <c r="F49" i="5"/>
  <c r="E49" i="5"/>
  <c r="D49" i="5"/>
  <c r="N48" i="5"/>
  <c r="N47" i="5"/>
  <c r="M46" i="5"/>
  <c r="L46" i="5"/>
  <c r="K46" i="5"/>
  <c r="J46" i="5"/>
  <c r="I46" i="5"/>
  <c r="H46" i="5"/>
  <c r="G46" i="5"/>
  <c r="F46" i="5"/>
  <c r="E46" i="5"/>
  <c r="D46" i="5"/>
  <c r="N45" i="5"/>
  <c r="M44" i="5"/>
  <c r="L44" i="5"/>
  <c r="K44" i="5"/>
  <c r="J44" i="5"/>
  <c r="I44" i="5"/>
  <c r="H44" i="5"/>
  <c r="G44" i="5"/>
  <c r="F44" i="5"/>
  <c r="E44" i="5"/>
  <c r="D44" i="5"/>
  <c r="N43" i="5"/>
  <c r="N42" i="5"/>
  <c r="M41" i="5"/>
  <c r="L41" i="5"/>
  <c r="K41" i="5"/>
  <c r="J41" i="5"/>
  <c r="I41" i="5"/>
  <c r="H41" i="5"/>
  <c r="G41" i="5"/>
  <c r="F41" i="5"/>
  <c r="E41" i="5"/>
  <c r="D41" i="5"/>
  <c r="N40" i="5"/>
  <c r="M39" i="5"/>
  <c r="L39" i="5"/>
  <c r="K39" i="5"/>
  <c r="J39" i="5"/>
  <c r="I39" i="5"/>
  <c r="H39" i="5"/>
  <c r="G39" i="5"/>
  <c r="F39" i="5"/>
  <c r="E39" i="5"/>
  <c r="D39" i="5"/>
  <c r="N38" i="5"/>
  <c r="N37" i="5"/>
  <c r="M30" i="5"/>
  <c r="L30" i="5"/>
  <c r="K30" i="5"/>
  <c r="J30" i="5"/>
  <c r="I30" i="5"/>
  <c r="H30" i="5"/>
  <c r="G30" i="5"/>
  <c r="F30" i="5"/>
  <c r="E30" i="5"/>
  <c r="D30" i="5"/>
  <c r="N29" i="5"/>
  <c r="M28" i="5"/>
  <c r="L28" i="5"/>
  <c r="K28" i="5"/>
  <c r="J28" i="5"/>
  <c r="I28" i="5"/>
  <c r="H28" i="5"/>
  <c r="G28" i="5"/>
  <c r="F28" i="5"/>
  <c r="E28" i="5"/>
  <c r="D28" i="5"/>
  <c r="N27" i="5"/>
  <c r="N26" i="5"/>
  <c r="M25" i="5"/>
  <c r="L25" i="5"/>
  <c r="K25" i="5"/>
  <c r="J25" i="5"/>
  <c r="I25" i="5"/>
  <c r="H25" i="5"/>
  <c r="G25" i="5"/>
  <c r="F25" i="5"/>
  <c r="E25" i="5"/>
  <c r="D25" i="5"/>
  <c r="N24" i="5"/>
  <c r="M23" i="5"/>
  <c r="L23" i="5"/>
  <c r="K23" i="5"/>
  <c r="J23" i="5"/>
  <c r="I23" i="5"/>
  <c r="H23" i="5"/>
  <c r="G23" i="5"/>
  <c r="F23" i="5"/>
  <c r="E23" i="5"/>
  <c r="D23" i="5"/>
  <c r="N22" i="5"/>
  <c r="N21" i="5"/>
  <c r="M20" i="5"/>
  <c r="L20" i="5"/>
  <c r="K20" i="5"/>
  <c r="J20" i="5"/>
  <c r="I20" i="5"/>
  <c r="H20" i="5"/>
  <c r="G20" i="5"/>
  <c r="F20" i="5"/>
  <c r="E20" i="5"/>
  <c r="D20" i="5"/>
  <c r="N19" i="5"/>
  <c r="M18" i="5"/>
  <c r="L18" i="5"/>
  <c r="K18" i="5"/>
  <c r="J18" i="5"/>
  <c r="I18" i="5"/>
  <c r="H18" i="5"/>
  <c r="G18" i="5"/>
  <c r="F18" i="5"/>
  <c r="E18" i="5"/>
  <c r="D18" i="5"/>
  <c r="N17" i="5"/>
  <c r="N16" i="5"/>
  <c r="M15" i="5"/>
  <c r="L15" i="5"/>
  <c r="K15" i="5"/>
  <c r="J15" i="5"/>
  <c r="I15" i="5"/>
  <c r="H15" i="5"/>
  <c r="G15" i="5"/>
  <c r="F15" i="5"/>
  <c r="E15" i="5"/>
  <c r="D15" i="5"/>
  <c r="N14" i="5"/>
  <c r="M13" i="5"/>
  <c r="L13" i="5"/>
  <c r="K13" i="5"/>
  <c r="J13" i="5"/>
  <c r="I13" i="5"/>
  <c r="H13" i="5"/>
  <c r="G13" i="5"/>
  <c r="F13" i="5"/>
  <c r="E13" i="5"/>
  <c r="D13" i="5"/>
  <c r="N12" i="5"/>
  <c r="N11" i="5"/>
  <c r="M121" i="1"/>
  <c r="L121" i="1"/>
  <c r="K121" i="1"/>
  <c r="J121" i="1"/>
  <c r="I121" i="1"/>
  <c r="H121" i="1"/>
  <c r="G121" i="1"/>
  <c r="F121" i="1"/>
  <c r="E121" i="1"/>
  <c r="D121" i="1"/>
  <c r="N120" i="1"/>
  <c r="M119" i="1"/>
  <c r="L119" i="1"/>
  <c r="K119" i="1"/>
  <c r="J119" i="1"/>
  <c r="I119" i="1"/>
  <c r="H119" i="1"/>
  <c r="G119" i="1"/>
  <c r="F119" i="1"/>
  <c r="E119" i="1"/>
  <c r="D119" i="1"/>
  <c r="N118" i="1"/>
  <c r="N117" i="1"/>
  <c r="M116" i="1"/>
  <c r="L116" i="1"/>
  <c r="K116" i="1"/>
  <c r="J116" i="1"/>
  <c r="I116" i="1"/>
  <c r="H116" i="1"/>
  <c r="G116" i="1"/>
  <c r="F116" i="1"/>
  <c r="N116" i="1" s="1"/>
  <c r="E116" i="1"/>
  <c r="D116" i="1"/>
  <c r="N115" i="1"/>
  <c r="M114" i="1"/>
  <c r="L114" i="1"/>
  <c r="K114" i="1"/>
  <c r="J114" i="1"/>
  <c r="I114" i="1"/>
  <c r="H114" i="1"/>
  <c r="G114" i="1"/>
  <c r="F114" i="1"/>
  <c r="E114" i="1"/>
  <c r="D114" i="1"/>
  <c r="N113" i="1"/>
  <c r="N112" i="1"/>
  <c r="N69" i="1"/>
  <c r="D20" i="1"/>
  <c r="D23" i="1"/>
  <c r="D25" i="1"/>
  <c r="D28" i="1"/>
  <c r="D46" i="1"/>
  <c r="D49" i="1"/>
  <c r="D51" i="1"/>
  <c r="D54" i="1"/>
  <c r="D39" i="1"/>
  <c r="N48" i="1"/>
  <c r="N53" i="1"/>
  <c r="N55" i="1"/>
  <c r="N52" i="1"/>
  <c r="M85" i="1"/>
  <c r="L85" i="1"/>
  <c r="K85" i="1"/>
  <c r="J85" i="1"/>
  <c r="I85" i="1"/>
  <c r="H85" i="1"/>
  <c r="G85" i="1"/>
  <c r="F85" i="1"/>
  <c r="E85" i="1"/>
  <c r="D85" i="1"/>
  <c r="N84" i="1"/>
  <c r="M83" i="1"/>
  <c r="L83" i="1"/>
  <c r="K83" i="1"/>
  <c r="J83" i="1"/>
  <c r="I83" i="1"/>
  <c r="H83" i="1"/>
  <c r="G83" i="1"/>
  <c r="F83" i="1"/>
  <c r="E83" i="1"/>
  <c r="D83" i="1"/>
  <c r="N82" i="1"/>
  <c r="N81" i="1"/>
  <c r="M80" i="1"/>
  <c r="L80" i="1"/>
  <c r="K80" i="1"/>
  <c r="J80" i="1"/>
  <c r="I80" i="1"/>
  <c r="H80" i="1"/>
  <c r="G80" i="1"/>
  <c r="F80" i="1"/>
  <c r="E80" i="1"/>
  <c r="D80" i="1"/>
  <c r="N79" i="1"/>
  <c r="M78" i="1"/>
  <c r="L78" i="1"/>
  <c r="K78" i="1"/>
  <c r="J78" i="1"/>
  <c r="I78" i="1"/>
  <c r="H78" i="1"/>
  <c r="G78" i="1"/>
  <c r="F78" i="1"/>
  <c r="E78" i="1"/>
  <c r="D78" i="1"/>
  <c r="N77" i="1"/>
  <c r="N76" i="1"/>
  <c r="M75" i="1"/>
  <c r="L75" i="1"/>
  <c r="K75" i="1"/>
  <c r="J75" i="1"/>
  <c r="I75" i="1"/>
  <c r="H75" i="1"/>
  <c r="G75" i="1"/>
  <c r="F75" i="1"/>
  <c r="E75" i="1"/>
  <c r="D75" i="1"/>
  <c r="N74" i="1"/>
  <c r="M73" i="1"/>
  <c r="L73" i="1"/>
  <c r="K73" i="1"/>
  <c r="J73" i="1"/>
  <c r="I73" i="1"/>
  <c r="H73" i="1"/>
  <c r="G73" i="1"/>
  <c r="F73" i="1"/>
  <c r="E73" i="1"/>
  <c r="D73" i="1"/>
  <c r="N72" i="1"/>
  <c r="N71" i="1"/>
  <c r="M70" i="1"/>
  <c r="L70" i="1"/>
  <c r="K70" i="1"/>
  <c r="J70" i="1"/>
  <c r="I70" i="1"/>
  <c r="H70" i="1"/>
  <c r="G70" i="1"/>
  <c r="F70" i="1"/>
  <c r="E70" i="1"/>
  <c r="D70" i="1"/>
  <c r="M68" i="1"/>
  <c r="L68" i="1"/>
  <c r="K68" i="1"/>
  <c r="J68" i="1"/>
  <c r="I68" i="1"/>
  <c r="H68" i="1"/>
  <c r="G68" i="1"/>
  <c r="F68" i="1"/>
  <c r="E68" i="1"/>
  <c r="D68" i="1"/>
  <c r="N67" i="1"/>
  <c r="N66" i="1"/>
  <c r="M102" i="1"/>
  <c r="L102" i="1"/>
  <c r="K102" i="1"/>
  <c r="J102" i="1"/>
  <c r="I102" i="1"/>
  <c r="H102" i="1"/>
  <c r="G102" i="1"/>
  <c r="F102" i="1"/>
  <c r="E102" i="1"/>
  <c r="D102" i="1"/>
  <c r="N101" i="1"/>
  <c r="M100" i="1"/>
  <c r="L100" i="1"/>
  <c r="K100" i="1"/>
  <c r="J100" i="1"/>
  <c r="I100" i="1"/>
  <c r="H100" i="1"/>
  <c r="G100" i="1"/>
  <c r="F100" i="1"/>
  <c r="E100" i="1"/>
  <c r="D100" i="1"/>
  <c r="N99" i="1"/>
  <c r="N98" i="1"/>
  <c r="M97" i="1"/>
  <c r="L97" i="1"/>
  <c r="K97" i="1"/>
  <c r="J97" i="1"/>
  <c r="I97" i="1"/>
  <c r="H97" i="1"/>
  <c r="G97" i="1"/>
  <c r="F97" i="1"/>
  <c r="E97" i="1"/>
  <c r="D97" i="1"/>
  <c r="N96" i="1"/>
  <c r="M95" i="1"/>
  <c r="L95" i="1"/>
  <c r="K95" i="1"/>
  <c r="J95" i="1"/>
  <c r="I95" i="1"/>
  <c r="H95" i="1"/>
  <c r="G95" i="1"/>
  <c r="F95" i="1"/>
  <c r="E95" i="1"/>
  <c r="D95" i="1"/>
  <c r="N94" i="1"/>
  <c r="N93" i="1"/>
  <c r="N27" i="1"/>
  <c r="N29" i="1"/>
  <c r="N26" i="1"/>
  <c r="N22" i="1"/>
  <c r="N24" i="1"/>
  <c r="N21" i="1"/>
  <c r="N17" i="1"/>
  <c r="N19" i="1"/>
  <c r="N16" i="1"/>
  <c r="N12" i="1"/>
  <c r="N14" i="1"/>
  <c r="N11" i="1"/>
  <c r="N50" i="1"/>
  <c r="N47" i="1"/>
  <c r="N43" i="1"/>
  <c r="N45" i="1"/>
  <c r="N42" i="1"/>
  <c r="N38" i="1"/>
  <c r="N40" i="1"/>
  <c r="N37" i="1"/>
  <c r="M56" i="1"/>
  <c r="L56" i="1"/>
  <c r="K56" i="1"/>
  <c r="J56" i="1"/>
  <c r="I56" i="1"/>
  <c r="H56" i="1"/>
  <c r="G56" i="1"/>
  <c r="F56" i="1"/>
  <c r="E56" i="1"/>
  <c r="D56" i="1"/>
  <c r="M54" i="1"/>
  <c r="L54" i="1"/>
  <c r="K54" i="1"/>
  <c r="J54" i="1"/>
  <c r="I54" i="1"/>
  <c r="H54" i="1"/>
  <c r="G54" i="1"/>
  <c r="F54" i="1"/>
  <c r="E54" i="1"/>
  <c r="M51" i="1"/>
  <c r="L51" i="1"/>
  <c r="K51" i="1"/>
  <c r="J51" i="1"/>
  <c r="I51" i="1"/>
  <c r="H51" i="1"/>
  <c r="G51" i="1"/>
  <c r="F51" i="1"/>
  <c r="E51" i="1"/>
  <c r="M49" i="1"/>
  <c r="L49" i="1"/>
  <c r="K49" i="1"/>
  <c r="J49" i="1"/>
  <c r="I49" i="1"/>
  <c r="H49" i="1"/>
  <c r="G49" i="1"/>
  <c r="F49" i="1"/>
  <c r="E49" i="1"/>
  <c r="M46" i="1"/>
  <c r="L46" i="1"/>
  <c r="K46" i="1"/>
  <c r="J46" i="1"/>
  <c r="I46" i="1"/>
  <c r="H46" i="1"/>
  <c r="G46" i="1"/>
  <c r="F46" i="1"/>
  <c r="E46" i="1"/>
  <c r="M44" i="1"/>
  <c r="L44" i="1"/>
  <c r="K44" i="1"/>
  <c r="J44" i="1"/>
  <c r="I44" i="1"/>
  <c r="H44" i="1"/>
  <c r="G44" i="1"/>
  <c r="F44" i="1"/>
  <c r="E44" i="1"/>
  <c r="D44" i="1"/>
  <c r="M41" i="1"/>
  <c r="L41" i="1"/>
  <c r="K41" i="1"/>
  <c r="J41" i="1"/>
  <c r="I41" i="1"/>
  <c r="H41" i="1"/>
  <c r="G41" i="1"/>
  <c r="F41" i="1"/>
  <c r="E41" i="1"/>
  <c r="D41" i="1"/>
  <c r="M39" i="1"/>
  <c r="L39" i="1"/>
  <c r="K39" i="1"/>
  <c r="J39" i="1"/>
  <c r="I39" i="1"/>
  <c r="H39" i="1"/>
  <c r="G39" i="1"/>
  <c r="F39" i="1"/>
  <c r="E39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3" i="2"/>
  <c r="E30" i="1"/>
  <c r="F30" i="1"/>
  <c r="G30" i="1"/>
  <c r="H30" i="1"/>
  <c r="I30" i="1"/>
  <c r="J30" i="1"/>
  <c r="K30" i="1"/>
  <c r="L30" i="1"/>
  <c r="M30" i="1"/>
  <c r="D30" i="1"/>
  <c r="E28" i="1"/>
  <c r="F28" i="1"/>
  <c r="G28" i="1"/>
  <c r="H28" i="1"/>
  <c r="I28" i="1"/>
  <c r="J28" i="1"/>
  <c r="K28" i="1"/>
  <c r="L28" i="1"/>
  <c r="M28" i="1"/>
  <c r="E25" i="1"/>
  <c r="F25" i="1"/>
  <c r="G25" i="1"/>
  <c r="H25" i="1"/>
  <c r="I25" i="1"/>
  <c r="J25" i="1"/>
  <c r="K25" i="1"/>
  <c r="L25" i="1"/>
  <c r="M25" i="1"/>
  <c r="E23" i="1"/>
  <c r="F23" i="1"/>
  <c r="G23" i="1"/>
  <c r="H23" i="1"/>
  <c r="I23" i="1"/>
  <c r="J23" i="1"/>
  <c r="K23" i="1"/>
  <c r="L23" i="1"/>
  <c r="M23" i="1"/>
  <c r="E20" i="1"/>
  <c r="F20" i="1"/>
  <c r="G20" i="1"/>
  <c r="H20" i="1"/>
  <c r="I20" i="1"/>
  <c r="J20" i="1"/>
  <c r="K20" i="1"/>
  <c r="L20" i="1"/>
  <c r="M20" i="1"/>
  <c r="E18" i="1"/>
  <c r="F18" i="1"/>
  <c r="G18" i="1"/>
  <c r="H18" i="1"/>
  <c r="I18" i="1"/>
  <c r="J18" i="1"/>
  <c r="K18" i="1"/>
  <c r="L18" i="1"/>
  <c r="M18" i="1"/>
  <c r="D18" i="1"/>
  <c r="E15" i="1"/>
  <c r="F15" i="1"/>
  <c r="G15" i="1"/>
  <c r="H15" i="1"/>
  <c r="I15" i="1"/>
  <c r="J15" i="1"/>
  <c r="K15" i="1"/>
  <c r="L15" i="1"/>
  <c r="M15" i="1"/>
  <c r="D15" i="1"/>
  <c r="E13" i="1"/>
  <c r="F13" i="1"/>
  <c r="G13" i="1"/>
  <c r="H13" i="1"/>
  <c r="I13" i="1"/>
  <c r="J13" i="1"/>
  <c r="K13" i="1"/>
  <c r="L13" i="1"/>
  <c r="M13" i="1"/>
  <c r="D13" i="1"/>
  <c r="N57" i="6" l="1"/>
  <c r="N69" i="6"/>
  <c r="N90" i="6"/>
  <c r="N59" i="6"/>
  <c r="O69" i="6"/>
  <c r="N61" i="6"/>
  <c r="P69" i="6"/>
  <c r="N36" i="6"/>
  <c r="N43" i="6"/>
  <c r="N52" i="6"/>
  <c r="N50" i="6"/>
  <c r="N54" i="6"/>
  <c r="N26" i="6"/>
  <c r="N19" i="6"/>
  <c r="N5" i="6"/>
  <c r="N12" i="6"/>
  <c r="N16" i="6"/>
  <c r="N9" i="6"/>
  <c r="N7" i="6"/>
  <c r="N28" i="6"/>
  <c r="N14" i="6"/>
  <c r="N87" i="6"/>
  <c r="P77" i="6"/>
  <c r="N98" i="6"/>
  <c r="N40" i="6"/>
  <c r="N23" i="6"/>
  <c r="N75" i="6"/>
  <c r="N21" i="6"/>
  <c r="P71" i="6"/>
  <c r="N100" i="6"/>
  <c r="N30" i="6"/>
  <c r="N38" i="6"/>
  <c r="O75" i="6"/>
  <c r="N77" i="6"/>
  <c r="P75" i="6"/>
  <c r="O77" i="6"/>
  <c r="N71" i="6"/>
  <c r="N45" i="6"/>
  <c r="O71" i="6"/>
  <c r="N47" i="6"/>
  <c r="N98" i="5"/>
  <c r="N95" i="5"/>
  <c r="N85" i="5"/>
  <c r="P85" i="5"/>
  <c r="N110" i="5"/>
  <c r="O85" i="5"/>
  <c r="N44" i="5"/>
  <c r="O70" i="5"/>
  <c r="N83" i="5"/>
  <c r="N28" i="5"/>
  <c r="N13" i="5"/>
  <c r="P78" i="5"/>
  <c r="N18" i="5"/>
  <c r="N80" i="5"/>
  <c r="P68" i="5"/>
  <c r="N15" i="5"/>
  <c r="N115" i="5"/>
  <c r="N78" i="5"/>
  <c r="N75" i="5"/>
  <c r="P75" i="5"/>
  <c r="O73" i="5"/>
  <c r="P73" i="5"/>
  <c r="N112" i="5"/>
  <c r="N117" i="5"/>
  <c r="N54" i="5"/>
  <c r="N56" i="5"/>
  <c r="N51" i="5"/>
  <c r="N49" i="5"/>
  <c r="N46" i="5"/>
  <c r="N39" i="5"/>
  <c r="N41" i="5"/>
  <c r="N30" i="5"/>
  <c r="N25" i="5"/>
  <c r="N23" i="5"/>
  <c r="N20" i="5"/>
  <c r="O75" i="5"/>
  <c r="O80" i="5"/>
  <c r="P80" i="5"/>
  <c r="O78" i="5"/>
  <c r="N73" i="5"/>
  <c r="N70" i="5"/>
  <c r="O83" i="5"/>
  <c r="P83" i="5"/>
  <c r="N68" i="5"/>
  <c r="P70" i="5"/>
  <c r="O68" i="5"/>
  <c r="N119" i="1"/>
  <c r="N121" i="1"/>
  <c r="N114" i="1"/>
  <c r="P83" i="1"/>
  <c r="O68" i="1"/>
  <c r="P75" i="1"/>
  <c r="O85" i="1"/>
  <c r="P85" i="1"/>
  <c r="O70" i="1"/>
  <c r="P78" i="1"/>
  <c r="N73" i="1"/>
  <c r="P68" i="1"/>
  <c r="P70" i="1"/>
  <c r="P80" i="1"/>
  <c r="O83" i="1"/>
  <c r="O80" i="1"/>
  <c r="O78" i="1"/>
  <c r="O75" i="1"/>
  <c r="O73" i="1"/>
  <c r="P73" i="1"/>
  <c r="N56" i="1"/>
  <c r="N54" i="1"/>
  <c r="N83" i="1"/>
  <c r="N78" i="1"/>
  <c r="N80" i="1"/>
  <c r="N85" i="1"/>
  <c r="N70" i="1"/>
  <c r="N75" i="1"/>
  <c r="N68" i="1"/>
  <c r="N18" i="1"/>
  <c r="N30" i="1"/>
  <c r="N23" i="1"/>
  <c r="N46" i="1"/>
  <c r="N39" i="1"/>
  <c r="N15" i="1"/>
  <c r="N13" i="1"/>
  <c r="N28" i="1"/>
  <c r="N20" i="1"/>
  <c r="N25" i="1"/>
  <c r="N49" i="1"/>
  <c r="N41" i="1"/>
  <c r="N100" i="1"/>
  <c r="N102" i="1"/>
  <c r="N97" i="1"/>
  <c r="N44" i="1"/>
  <c r="N95" i="1"/>
  <c r="N51" i="1"/>
</calcChain>
</file>

<file path=xl/sharedStrings.xml><?xml version="1.0" encoding="utf-8"?>
<sst xmlns="http://schemas.openxmlformats.org/spreadsheetml/2006/main" count="561" uniqueCount="61">
  <si>
    <t>GPUCB0</t>
  </si>
  <si>
    <t>GPUCB1</t>
  </si>
  <si>
    <t>GPUCB2</t>
  </si>
  <si>
    <t>P1</t>
  </si>
  <si>
    <t>P2</t>
  </si>
  <si>
    <t>P3</t>
  </si>
  <si>
    <t>P4</t>
  </si>
  <si>
    <t>rule1</t>
  </si>
  <si>
    <t>rule2</t>
  </si>
  <si>
    <t>GPUCB3</t>
  </si>
  <si>
    <t>Index</t>
  </si>
  <si>
    <t>Shape</t>
  </si>
  <si>
    <t>Scale</t>
  </si>
  <si>
    <t>Mean</t>
  </si>
  <si>
    <t>Variance</t>
  </si>
  <si>
    <t>gamma distribution</t>
  </si>
  <si>
    <t>Gap</t>
  </si>
  <si>
    <t>independent fuel price</t>
  </si>
  <si>
    <t>GPUCB4</t>
  </si>
  <si>
    <t>GBM_correlation</t>
  </si>
  <si>
    <t>Cor4</t>
  </si>
  <si>
    <t xml:space="preserve">Average </t>
  </si>
  <si>
    <t>Obj.</t>
  </si>
  <si>
    <t>Cor2</t>
  </si>
  <si>
    <t>GPBPL</t>
  </si>
  <si>
    <t>GP</t>
  </si>
  <si>
    <t>GPsm</t>
  </si>
  <si>
    <t>study impact of bunker price learning: Gamma distribution</t>
  </si>
  <si>
    <t>T=16</t>
  </si>
  <si>
    <t>T=26</t>
  </si>
  <si>
    <t>T=36</t>
  </si>
  <si>
    <t>T=46</t>
  </si>
  <si>
    <t>\sigma=2</t>
  </si>
  <si>
    <t>\sigma=4</t>
  </si>
  <si>
    <t>Rule 1</t>
  </si>
  <si>
    <t>Rule 2</t>
  </si>
  <si>
    <t>Minimum</t>
  </si>
  <si>
    <t>Average</t>
  </si>
  <si>
    <t>Maximum</t>
  </si>
  <si>
    <t>$\sigma =2, T=16$</t>
  </si>
  <si>
    <t>$\sigma =2, T=26$</t>
  </si>
  <si>
    <t>$\sigma =4, T=26$</t>
  </si>
  <si>
    <t>$\sigma =4, T=16$</t>
  </si>
  <si>
    <t>capacity=2000</t>
  </si>
  <si>
    <t>gamma</t>
  </si>
  <si>
    <t>uniform</t>
  </si>
  <si>
    <t>Gamma</t>
  </si>
  <si>
    <t>Ruel 1</t>
  </si>
  <si>
    <t>Price distributions</t>
  </si>
  <si>
    <t xml:space="preserve">Uinform </t>
  </si>
  <si>
    <t>Csae Study</t>
  </si>
  <si>
    <t>Price distribution</t>
  </si>
  <si>
    <t>Independent price</t>
  </si>
  <si>
    <t>Correlated price</t>
  </si>
  <si>
    <t>RPL</t>
  </si>
  <si>
    <t>ARC</t>
  </si>
  <si>
    <t>UCB</t>
  </si>
  <si>
    <t>$\sigma =2, T=36$</t>
  </si>
  <si>
    <t>RPL0</t>
  </si>
  <si>
    <t>UCB0</t>
  </si>
  <si>
    <t>GPUCB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</si>
</sst>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1" fontId="3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0" xfId="0" applyNumberFormat="1" applyFont="1"/>
    <xf numFmtId="165" fontId="3" fillId="0" borderId="1" xfId="1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EB30-677F-48D8-B8B5-E2C8F511D22E}">
  <dimension ref="A4:U117"/>
  <sheetViews>
    <sheetView zoomScale="85" zoomScaleNormal="85" workbookViewId="0">
      <selection activeCell="P96" sqref="P96"/>
    </sheetView>
  </sheetViews>
  <sheetFormatPr defaultRowHeight="13.8" x14ac:dyDescent="0.25"/>
  <cols>
    <col min="1" max="1" width="21.21875" style="1" customWidth="1"/>
    <col min="2" max="2" width="8.88671875" style="1"/>
    <col min="3" max="3" width="10" style="1" bestFit="1" customWidth="1"/>
    <col min="4" max="12" width="14.77734375" style="1" bestFit="1" customWidth="1"/>
    <col min="13" max="13" width="10.5546875" style="1" customWidth="1"/>
    <col min="14" max="14" width="16.109375" style="9" customWidth="1"/>
    <col min="15" max="15" width="9.77734375" style="1" customWidth="1"/>
    <col min="16" max="16" width="11.6640625" style="1" customWidth="1"/>
    <col min="17" max="17" width="8.88671875" style="1"/>
    <col min="18" max="18" width="10" style="1" bestFit="1" customWidth="1"/>
    <col min="19" max="16384" width="8.88671875" style="1"/>
  </cols>
  <sheetData>
    <row r="4" spans="1:15" x14ac:dyDescent="0.25">
      <c r="J4" s="11"/>
    </row>
    <row r="5" spans="1:15" x14ac:dyDescent="0.25">
      <c r="J5" s="11"/>
    </row>
    <row r="6" spans="1:15" x14ac:dyDescent="0.25">
      <c r="J6" s="11"/>
    </row>
    <row r="7" spans="1:15" x14ac:dyDescent="0.25">
      <c r="J7" s="11"/>
    </row>
    <row r="9" spans="1:15" x14ac:dyDescent="0.25">
      <c r="B9" s="31" t="s">
        <v>17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5" x14ac:dyDescent="0.25">
      <c r="A10" s="18"/>
      <c r="B10" s="12"/>
      <c r="C10" s="12"/>
      <c r="D10" s="12">
        <v>0</v>
      </c>
      <c r="E10" s="12">
        <v>10</v>
      </c>
      <c r="F10" s="12">
        <v>20</v>
      </c>
      <c r="G10" s="12">
        <v>30</v>
      </c>
      <c r="H10" s="12">
        <v>40</v>
      </c>
      <c r="I10" s="12">
        <v>50</v>
      </c>
      <c r="J10" s="12">
        <v>60</v>
      </c>
      <c r="K10" s="12">
        <v>70</v>
      </c>
      <c r="L10" s="12">
        <v>80</v>
      </c>
      <c r="M10" s="12">
        <v>90</v>
      </c>
      <c r="N10" s="18" t="s">
        <v>21</v>
      </c>
      <c r="O10" s="19"/>
    </row>
    <row r="11" spans="1:15" x14ac:dyDescent="0.25">
      <c r="A11" s="9" t="s">
        <v>28</v>
      </c>
      <c r="B11" s="5" t="s">
        <v>24</v>
      </c>
      <c r="C11" s="5" t="s">
        <v>22</v>
      </c>
      <c r="D11" s="23">
        <v>104668.141550966</v>
      </c>
      <c r="E11" s="23">
        <v>106320.596523413</v>
      </c>
      <c r="F11" s="23">
        <v>103463.826336133</v>
      </c>
      <c r="G11" s="23">
        <v>101178.271008478</v>
      </c>
      <c r="H11" s="23">
        <v>101276.133728941</v>
      </c>
      <c r="I11" s="23">
        <v>103960.15408049199</v>
      </c>
      <c r="J11" s="23">
        <v>98359.037866155006</v>
      </c>
      <c r="K11" s="23">
        <v>99005.602532446399</v>
      </c>
      <c r="L11" s="23">
        <v>94754.0816985196</v>
      </c>
      <c r="M11" s="23">
        <v>93438.955342960398</v>
      </c>
      <c r="N11" s="21">
        <f>AVERAGE(D11:M11)</f>
        <v>100642.48006685045</v>
      </c>
      <c r="O11" s="19"/>
    </row>
    <row r="12" spans="1:15" x14ac:dyDescent="0.25">
      <c r="A12" s="9"/>
      <c r="B12" s="5" t="s">
        <v>34</v>
      </c>
      <c r="C12" s="5" t="s">
        <v>22</v>
      </c>
      <c r="D12" s="21">
        <v>159305.419693017</v>
      </c>
      <c r="E12" s="21">
        <v>155997.96194283399</v>
      </c>
      <c r="F12" s="21">
        <v>154734.04226427601</v>
      </c>
      <c r="G12" s="21">
        <v>152944.45303679199</v>
      </c>
      <c r="H12" s="21">
        <v>151611.74967976101</v>
      </c>
      <c r="I12" s="21">
        <v>150031.09163328601</v>
      </c>
      <c r="J12" s="21">
        <v>150821.59719151299</v>
      </c>
      <c r="K12" s="21">
        <v>146794.99256308901</v>
      </c>
      <c r="L12" s="21">
        <v>146653.60293840701</v>
      </c>
      <c r="M12" s="21">
        <v>144738.96202196099</v>
      </c>
      <c r="N12" s="21">
        <f t="shared" ref="N12:N15" si="0">AVERAGE(D12:M12)</f>
        <v>151363.38729649357</v>
      </c>
      <c r="O12" s="19"/>
    </row>
    <row r="13" spans="1:15" x14ac:dyDescent="0.25">
      <c r="A13" s="9"/>
      <c r="B13" s="5"/>
      <c r="C13" s="5" t="s">
        <v>16</v>
      </c>
      <c r="D13" s="14">
        <f t="shared" ref="D13:M13" si="1">(D12-D11)/D11</f>
        <v>0.52200485584667133</v>
      </c>
      <c r="E13" s="14">
        <f t="shared" si="1"/>
        <v>0.46724122177476196</v>
      </c>
      <c r="F13" s="14">
        <f t="shared" si="1"/>
        <v>0.49553759747466197</v>
      </c>
      <c r="G13" s="14">
        <f t="shared" si="1"/>
        <v>0.51163339235137129</v>
      </c>
      <c r="H13" s="14">
        <f t="shared" si="1"/>
        <v>0.49701360130452865</v>
      </c>
      <c r="I13" s="14">
        <f t="shared" si="1"/>
        <v>0.44315957359127439</v>
      </c>
      <c r="J13" s="14">
        <f t="shared" si="1"/>
        <v>0.53337812633698167</v>
      </c>
      <c r="K13" s="14">
        <f t="shared" si="1"/>
        <v>0.48269379518175176</v>
      </c>
      <c r="L13" s="14">
        <f t="shared" si="1"/>
        <v>0.54772860767113818</v>
      </c>
      <c r="M13" s="14">
        <f t="shared" si="1"/>
        <v>0.54902162048695768</v>
      </c>
      <c r="N13" s="17">
        <f t="shared" si="0"/>
        <v>0.50494123920200995</v>
      </c>
      <c r="O13" s="19"/>
    </row>
    <row r="14" spans="1:15" x14ac:dyDescent="0.25">
      <c r="A14" s="9"/>
      <c r="B14" s="5" t="s">
        <v>35</v>
      </c>
      <c r="C14" s="5" t="s">
        <v>22</v>
      </c>
      <c r="D14" s="21">
        <v>165037.32998497199</v>
      </c>
      <c r="E14" s="21">
        <v>164830.21364796301</v>
      </c>
      <c r="F14" s="21">
        <v>162936.21221015599</v>
      </c>
      <c r="G14" s="21">
        <v>161337.14528272001</v>
      </c>
      <c r="H14" s="21">
        <v>163453.00161952499</v>
      </c>
      <c r="I14" s="21">
        <v>160516.013809225</v>
      </c>
      <c r="J14" s="21">
        <v>157305.73546527501</v>
      </c>
      <c r="K14" s="21">
        <v>156110.82399270101</v>
      </c>
      <c r="L14" s="21">
        <v>153938.61722406701</v>
      </c>
      <c r="M14" s="21">
        <v>152092.30674576701</v>
      </c>
      <c r="N14" s="21">
        <f t="shared" si="0"/>
        <v>159755.73999823708</v>
      </c>
      <c r="O14" s="19"/>
    </row>
    <row r="15" spans="1:15" x14ac:dyDescent="0.25">
      <c r="A15" s="9"/>
      <c r="B15" s="5"/>
      <c r="C15" s="7" t="s">
        <v>16</v>
      </c>
      <c r="D15" s="15">
        <f t="shared" ref="D15:M15" si="2">(D14-D11)/D11</f>
        <v>0.57676755829862958</v>
      </c>
      <c r="E15" s="15">
        <f t="shared" si="2"/>
        <v>0.55031310054459237</v>
      </c>
      <c r="F15" s="15">
        <f t="shared" si="2"/>
        <v>0.5748133234586672</v>
      </c>
      <c r="G15" s="15">
        <f t="shared" si="2"/>
        <v>0.59458294428851366</v>
      </c>
      <c r="H15" s="15">
        <f t="shared" si="2"/>
        <v>0.61393405930163514</v>
      </c>
      <c r="I15" s="15">
        <f t="shared" si="2"/>
        <v>0.54401477401566922</v>
      </c>
      <c r="J15" s="15">
        <f t="shared" si="2"/>
        <v>0.59930128311476039</v>
      </c>
      <c r="K15" s="15">
        <f t="shared" si="2"/>
        <v>0.57678777765672329</v>
      </c>
      <c r="L15" s="15">
        <f t="shared" si="2"/>
        <v>0.62461198994947453</v>
      </c>
      <c r="M15" s="15">
        <f t="shared" si="2"/>
        <v>0.62771839847228661</v>
      </c>
      <c r="N15" s="20">
        <f t="shared" si="0"/>
        <v>0.5882845209100952</v>
      </c>
      <c r="O15" s="19"/>
    </row>
    <row r="16" spans="1:15" x14ac:dyDescent="0.25">
      <c r="A16" s="9" t="s">
        <v>29</v>
      </c>
      <c r="B16" s="5" t="s">
        <v>24</v>
      </c>
      <c r="C16" s="5" t="s">
        <v>22</v>
      </c>
      <c r="D16" s="21">
        <v>119684.08508496999</v>
      </c>
      <c r="E16" s="21">
        <v>121415.013795591</v>
      </c>
      <c r="F16" s="21">
        <v>119780.949160116</v>
      </c>
      <c r="G16" s="21">
        <v>115675.408794577</v>
      </c>
      <c r="H16" s="21">
        <v>119003.704013027</v>
      </c>
      <c r="I16" s="21">
        <v>111619.587776605</v>
      </c>
      <c r="J16" s="21">
        <v>112096.201593518</v>
      </c>
      <c r="K16" s="21">
        <v>112479.290597702</v>
      </c>
      <c r="L16" s="21">
        <v>109837.762132227</v>
      </c>
      <c r="M16" s="21">
        <v>108363.88249427899</v>
      </c>
      <c r="N16" s="21">
        <f>AVERAGE(D16:M16)</f>
        <v>114995.58854426121</v>
      </c>
      <c r="O16" s="19"/>
    </row>
    <row r="17" spans="1:15" x14ac:dyDescent="0.25">
      <c r="A17" s="9"/>
      <c r="B17" s="5" t="s">
        <v>34</v>
      </c>
      <c r="C17" s="5" t="s">
        <v>22</v>
      </c>
      <c r="D17" s="21">
        <v>200772.090744752</v>
      </c>
      <c r="E17" s="21">
        <v>200295.37809419</v>
      </c>
      <c r="F17" s="21">
        <v>194774.01328960399</v>
      </c>
      <c r="G17" s="21">
        <v>193977.804400027</v>
      </c>
      <c r="H17" s="21">
        <v>196848.08930947701</v>
      </c>
      <c r="I17" s="21">
        <v>190687.41786175899</v>
      </c>
      <c r="J17" s="21">
        <v>190832.103881502</v>
      </c>
      <c r="K17" s="21">
        <v>191438.859711784</v>
      </c>
      <c r="L17" s="21">
        <v>188135.237097773</v>
      </c>
      <c r="M17" s="21">
        <v>186786.72961416701</v>
      </c>
      <c r="N17" s="21">
        <f t="shared" ref="N17:N20" si="3">AVERAGE(D17:M17)</f>
        <v>193454.77240050351</v>
      </c>
      <c r="O17" s="19"/>
    </row>
    <row r="18" spans="1:15" x14ac:dyDescent="0.25">
      <c r="A18" s="9"/>
      <c r="B18" s="5"/>
      <c r="C18" s="5" t="s">
        <v>16</v>
      </c>
      <c r="D18" s="14">
        <f>(D17-D16)/D16</f>
        <v>0.6775170282850338</v>
      </c>
      <c r="E18" s="14">
        <f t="shared" ref="E18:M18" si="4">(E17-E16)/E16</f>
        <v>0.64967553709130677</v>
      </c>
      <c r="F18" s="14">
        <f t="shared" si="4"/>
        <v>0.62608507158548021</v>
      </c>
      <c r="G18" s="14">
        <f t="shared" si="4"/>
        <v>0.67691479478152417</v>
      </c>
      <c r="H18" s="14">
        <f t="shared" si="4"/>
        <v>0.6541341376057388</v>
      </c>
      <c r="I18" s="14">
        <f t="shared" si="4"/>
        <v>0.70836876985605823</v>
      </c>
      <c r="J18" s="14">
        <f t="shared" si="4"/>
        <v>0.70239580974826665</v>
      </c>
      <c r="K18" s="14">
        <f t="shared" si="4"/>
        <v>0.70199206177866114</v>
      </c>
      <c r="L18" s="14">
        <f t="shared" si="4"/>
        <v>0.7128465970682144</v>
      </c>
      <c r="M18" s="14">
        <f t="shared" si="4"/>
        <v>0.72369912663500502</v>
      </c>
      <c r="N18" s="17">
        <f t="shared" si="3"/>
        <v>0.68336289344352896</v>
      </c>
      <c r="O18" s="19"/>
    </row>
    <row r="19" spans="1:15" x14ac:dyDescent="0.25">
      <c r="A19" s="9"/>
      <c r="B19" s="5" t="s">
        <v>35</v>
      </c>
      <c r="C19" s="5" t="s">
        <v>22</v>
      </c>
      <c r="D19" s="21">
        <v>211653.61200995301</v>
      </c>
      <c r="E19" s="21">
        <v>210135.52093418301</v>
      </c>
      <c r="F19" s="21">
        <v>207129.911862762</v>
      </c>
      <c r="G19" s="21">
        <v>206216.13032919</v>
      </c>
      <c r="H19" s="21">
        <v>206702.80001226699</v>
      </c>
      <c r="I19" s="21">
        <v>205755.37778809</v>
      </c>
      <c r="J19" s="21">
        <v>202390.893671392</v>
      </c>
      <c r="K19" s="21">
        <v>202890.332971992</v>
      </c>
      <c r="L19" s="21">
        <v>201320.35185287101</v>
      </c>
      <c r="M19" s="21">
        <v>199809.641099728</v>
      </c>
      <c r="N19" s="21">
        <f t="shared" si="3"/>
        <v>205400.45725324278</v>
      </c>
      <c r="O19" s="19"/>
    </row>
    <row r="20" spans="1:15" x14ac:dyDescent="0.25">
      <c r="A20" s="9"/>
      <c r="B20" s="5"/>
      <c r="C20" s="7" t="s">
        <v>16</v>
      </c>
      <c r="D20" s="15">
        <f>(D19-D16)/D16</f>
        <v>0.76843572693636786</v>
      </c>
      <c r="E20" s="15">
        <f t="shared" ref="E20:M20" si="5">(E19-E16)/E16</f>
        <v>0.73072105635928974</v>
      </c>
      <c r="F20" s="15">
        <f t="shared" si="5"/>
        <v>0.72923919300291362</v>
      </c>
      <c r="G20" s="15">
        <f t="shared" si="5"/>
        <v>0.78271365087976807</v>
      </c>
      <c r="H20" s="15">
        <f t="shared" si="5"/>
        <v>0.73694425502621175</v>
      </c>
      <c r="I20" s="15">
        <f t="shared" si="5"/>
        <v>0.84336263810513268</v>
      </c>
      <c r="J20" s="15">
        <f t="shared" si="5"/>
        <v>0.80551072020530734</v>
      </c>
      <c r="K20" s="15">
        <f t="shared" si="5"/>
        <v>0.80380167668071278</v>
      </c>
      <c r="L20" s="15">
        <f t="shared" si="5"/>
        <v>0.83288832496890908</v>
      </c>
      <c r="M20" s="15">
        <f t="shared" si="5"/>
        <v>0.84387672811812398</v>
      </c>
      <c r="N20" s="20">
        <f t="shared" si="3"/>
        <v>0.78774939702827373</v>
      </c>
    </row>
    <row r="21" spans="1:15" x14ac:dyDescent="0.25">
      <c r="A21" s="9" t="s">
        <v>30</v>
      </c>
      <c r="B21" s="5" t="s">
        <v>24</v>
      </c>
      <c r="C21" s="5" t="s">
        <v>22</v>
      </c>
      <c r="D21" s="21">
        <v>176809.956537511</v>
      </c>
      <c r="E21" s="21">
        <v>172340.23670403901</v>
      </c>
      <c r="F21" s="21">
        <v>170705.73678634799</v>
      </c>
      <c r="G21" s="21">
        <v>168864.79078169301</v>
      </c>
      <c r="H21" s="21">
        <v>166096.17894247099</v>
      </c>
      <c r="I21" s="21">
        <v>164442.43380448499</v>
      </c>
      <c r="J21" s="21">
        <v>165811.09390206399</v>
      </c>
      <c r="K21" s="21">
        <v>162262.923681877</v>
      </c>
      <c r="L21" s="21">
        <v>163865.015842772</v>
      </c>
      <c r="M21" s="21">
        <v>158792.027038559</v>
      </c>
      <c r="N21" s="21">
        <f>AVERAGE(D21:M21)</f>
        <v>166999.03940218192</v>
      </c>
    </row>
    <row r="22" spans="1:15" x14ac:dyDescent="0.25">
      <c r="A22" s="9"/>
      <c r="B22" s="5" t="s">
        <v>34</v>
      </c>
      <c r="C22" s="5" t="s">
        <v>22</v>
      </c>
      <c r="D22" s="21">
        <v>313897.039364592</v>
      </c>
      <c r="E22" s="21">
        <v>311989.31493976898</v>
      </c>
      <c r="F22" s="21">
        <v>310372.73790852999</v>
      </c>
      <c r="G22" s="21">
        <v>309131.21003256203</v>
      </c>
      <c r="H22" s="21">
        <v>301614.77234411601</v>
      </c>
      <c r="I22" s="21">
        <v>305517.54909048701</v>
      </c>
      <c r="J22" s="21">
        <v>303464.70505503501</v>
      </c>
      <c r="K22" s="21">
        <v>301377.85781398398</v>
      </c>
      <c r="L22" s="21">
        <v>298662.55841299798</v>
      </c>
      <c r="M22" s="21">
        <v>300899.65485107503</v>
      </c>
      <c r="N22" s="21">
        <f t="shared" ref="N22:N25" si="6">AVERAGE(D22:M22)</f>
        <v>305692.73998131481</v>
      </c>
    </row>
    <row r="23" spans="1:15" x14ac:dyDescent="0.25">
      <c r="A23" s="9"/>
      <c r="B23" s="5"/>
      <c r="C23" s="5" t="s">
        <v>16</v>
      </c>
      <c r="D23" s="14">
        <f>(D22-D21)/D21</f>
        <v>0.77533576452182085</v>
      </c>
      <c r="E23" s="14">
        <f t="shared" ref="E23:M23" si="7">(E22-E21)/E21</f>
        <v>0.81031035413714925</v>
      </c>
      <c r="F23" s="14">
        <f t="shared" si="7"/>
        <v>0.818174032996832</v>
      </c>
      <c r="G23" s="14">
        <f t="shared" si="7"/>
        <v>0.83064337214146833</v>
      </c>
      <c r="H23" s="14">
        <f t="shared" si="7"/>
        <v>0.81590434087338748</v>
      </c>
      <c r="I23" s="14">
        <f t="shared" si="7"/>
        <v>0.85789970400057625</v>
      </c>
      <c r="J23" s="14">
        <f t="shared" si="7"/>
        <v>0.83018336055533093</v>
      </c>
      <c r="K23" s="14">
        <f t="shared" si="7"/>
        <v>0.85734270636493282</v>
      </c>
      <c r="L23" s="14">
        <f t="shared" si="7"/>
        <v>0.8226133069157594</v>
      </c>
      <c r="M23" s="14">
        <f t="shared" si="7"/>
        <v>0.89492923834273153</v>
      </c>
      <c r="N23" s="17">
        <f t="shared" si="6"/>
        <v>0.83133361808499884</v>
      </c>
    </row>
    <row r="24" spans="1:15" x14ac:dyDescent="0.25">
      <c r="A24" s="9"/>
      <c r="B24" s="5" t="s">
        <v>35</v>
      </c>
      <c r="C24" s="5" t="s">
        <v>22</v>
      </c>
      <c r="D24" s="21">
        <v>296463.200890015</v>
      </c>
      <c r="E24" s="21">
        <v>298712.17307528201</v>
      </c>
      <c r="F24" s="21">
        <v>294654.28340133303</v>
      </c>
      <c r="G24" s="21">
        <v>300670.4471392</v>
      </c>
      <c r="H24" s="21">
        <v>292933.481606399</v>
      </c>
      <c r="I24" s="21">
        <v>289832.750334754</v>
      </c>
      <c r="J24" s="21">
        <v>284452.20517524</v>
      </c>
      <c r="K24" s="21">
        <v>286711.41693004698</v>
      </c>
      <c r="L24" s="21">
        <v>287154.42832758598</v>
      </c>
      <c r="M24" s="21">
        <v>284742.03514726</v>
      </c>
      <c r="N24" s="21">
        <f t="shared" si="6"/>
        <v>291632.64220271155</v>
      </c>
    </row>
    <row r="25" spans="1:15" x14ac:dyDescent="0.25">
      <c r="A25" s="9"/>
      <c r="B25" s="5"/>
      <c r="C25" s="7" t="s">
        <v>16</v>
      </c>
      <c r="D25" s="15">
        <f>(D24-D21)/D21</f>
        <v>0.67673363364646855</v>
      </c>
      <c r="E25" s="15">
        <f t="shared" ref="E25:M25" si="8">(E24-E21)/E21</f>
        <v>0.73327006384621796</v>
      </c>
      <c r="F25" s="15">
        <f t="shared" si="8"/>
        <v>0.72609479299525037</v>
      </c>
      <c r="G25" s="15">
        <f t="shared" si="8"/>
        <v>0.78053960063175187</v>
      </c>
      <c r="H25" s="15">
        <f t="shared" si="8"/>
        <v>0.76363769155616357</v>
      </c>
      <c r="I25" s="15">
        <f t="shared" si="8"/>
        <v>0.76251800480740106</v>
      </c>
      <c r="J25" s="15">
        <f t="shared" si="8"/>
        <v>0.71551974286624731</v>
      </c>
      <c r="K25" s="15">
        <f t="shared" si="8"/>
        <v>0.7669558172892057</v>
      </c>
      <c r="L25" s="15">
        <f t="shared" si="8"/>
        <v>0.75238397806100232</v>
      </c>
      <c r="M25" s="15">
        <f t="shared" si="8"/>
        <v>0.79317589464436355</v>
      </c>
      <c r="N25" s="20">
        <f t="shared" si="6"/>
        <v>0.74708292203440718</v>
      </c>
    </row>
    <row r="26" spans="1:15" x14ac:dyDescent="0.25">
      <c r="A26" s="9" t="s">
        <v>31</v>
      </c>
      <c r="B26" s="5" t="s">
        <v>24</v>
      </c>
      <c r="C26" s="5" t="s">
        <v>22</v>
      </c>
      <c r="D26" s="21">
        <v>340652.13863484398</v>
      </c>
      <c r="E26" s="21">
        <v>338958.52760802698</v>
      </c>
      <c r="F26" s="21">
        <v>334532.901977445</v>
      </c>
      <c r="G26" s="21">
        <v>337285.707045966</v>
      </c>
      <c r="H26" s="21">
        <v>337158.81113454601</v>
      </c>
      <c r="I26" s="21">
        <v>330584.59646692901</v>
      </c>
      <c r="J26" s="21">
        <v>327955.73459239199</v>
      </c>
      <c r="K26" s="21">
        <v>326819.709037953</v>
      </c>
      <c r="L26" s="21">
        <v>327740.55675007001</v>
      </c>
      <c r="M26" s="21">
        <v>325289.907276129</v>
      </c>
      <c r="N26" s="21">
        <f>AVERAGE(D26:M26)</f>
        <v>332697.85905243008</v>
      </c>
    </row>
    <row r="27" spans="1:15" x14ac:dyDescent="0.25">
      <c r="A27" s="9"/>
      <c r="B27" s="5" t="s">
        <v>34</v>
      </c>
      <c r="C27" s="5" t="s">
        <v>22</v>
      </c>
      <c r="D27" s="21">
        <v>487341.00214271399</v>
      </c>
      <c r="E27" s="21">
        <v>482712.905880732</v>
      </c>
      <c r="F27" s="21">
        <v>480735.74905577803</v>
      </c>
      <c r="G27" s="21">
        <v>477660.05254976999</v>
      </c>
      <c r="H27" s="21">
        <v>479023.94900288997</v>
      </c>
      <c r="I27" s="21">
        <v>472537.35199236101</v>
      </c>
      <c r="J27" s="21">
        <v>474847.558694301</v>
      </c>
      <c r="K27" s="21">
        <v>468017.225050484</v>
      </c>
      <c r="L27" s="21">
        <v>469128.70102043601</v>
      </c>
      <c r="M27" s="21">
        <v>466704.51736402098</v>
      </c>
      <c r="N27" s="21">
        <f t="shared" ref="N27:N30" si="9">AVERAGE(D27:M27)</f>
        <v>475870.90127534873</v>
      </c>
    </row>
    <row r="28" spans="1:15" x14ac:dyDescent="0.25">
      <c r="A28" s="9"/>
      <c r="B28" s="5"/>
      <c r="C28" s="5" t="s">
        <v>16</v>
      </c>
      <c r="D28" s="14">
        <f>(D27-D26)/D26</f>
        <v>0.43061189662781046</v>
      </c>
      <c r="E28" s="14">
        <f t="shared" ref="E28:M28" si="10">(E27-E26)/E26</f>
        <v>0.42410609724781184</v>
      </c>
      <c r="F28" s="14">
        <f t="shared" si="10"/>
        <v>0.43703577798811061</v>
      </c>
      <c r="G28" s="14">
        <f t="shared" si="10"/>
        <v>0.41618824210856192</v>
      </c>
      <c r="H28" s="14">
        <f t="shared" si="10"/>
        <v>0.42076651472036281</v>
      </c>
      <c r="I28" s="14">
        <f t="shared" si="10"/>
        <v>0.42939918266770383</v>
      </c>
      <c r="J28" s="14">
        <f t="shared" si="10"/>
        <v>0.44790137389875861</v>
      </c>
      <c r="K28" s="14">
        <f t="shared" si="10"/>
        <v>0.43203488684378577</v>
      </c>
      <c r="L28" s="14">
        <f t="shared" si="10"/>
        <v>0.43140264870602041</v>
      </c>
      <c r="M28" s="14">
        <f t="shared" si="10"/>
        <v>0.43473408465713415</v>
      </c>
      <c r="N28" s="17">
        <f t="shared" si="9"/>
        <v>0.43041807054660602</v>
      </c>
    </row>
    <row r="29" spans="1:15" x14ac:dyDescent="0.25">
      <c r="A29" s="9"/>
      <c r="B29" s="5" t="s">
        <v>35</v>
      </c>
      <c r="C29" s="5" t="s">
        <v>22</v>
      </c>
      <c r="D29" s="21">
        <v>457086.11972439301</v>
      </c>
      <c r="E29" s="21">
        <v>452956.28117769799</v>
      </c>
      <c r="F29" s="21">
        <v>455572.76342157798</v>
      </c>
      <c r="G29" s="21">
        <v>447836.16072945</v>
      </c>
      <c r="H29" s="21">
        <v>447582.06629122997</v>
      </c>
      <c r="I29" s="21">
        <v>446307.95922475797</v>
      </c>
      <c r="J29" s="21">
        <v>440476.45271726098</v>
      </c>
      <c r="K29" s="21">
        <v>443586.073223377</v>
      </c>
      <c r="L29" s="21">
        <v>441935.00772549899</v>
      </c>
      <c r="M29" s="21">
        <v>443430.55310974602</v>
      </c>
      <c r="N29" s="21">
        <f t="shared" si="9"/>
        <v>447676.94373449899</v>
      </c>
    </row>
    <row r="30" spans="1:15" x14ac:dyDescent="0.25">
      <c r="A30" s="10"/>
      <c r="B30" s="7"/>
      <c r="C30" s="7" t="s">
        <v>16</v>
      </c>
      <c r="D30" s="15">
        <f>(D29-D26)/D26</f>
        <v>0.34179729960350658</v>
      </c>
      <c r="E30" s="15">
        <f t="shared" ref="E30:M30" si="11">(E29-E26)/E26</f>
        <v>0.33631770344925049</v>
      </c>
      <c r="F30" s="15">
        <f t="shared" si="11"/>
        <v>0.36181750951448649</v>
      </c>
      <c r="G30" s="15">
        <f t="shared" si="11"/>
        <v>0.32776501160310939</v>
      </c>
      <c r="H30" s="15">
        <f t="shared" si="11"/>
        <v>0.32751110607226175</v>
      </c>
      <c r="I30" s="15">
        <f t="shared" si="11"/>
        <v>0.35005672978899877</v>
      </c>
      <c r="J30" s="15">
        <f t="shared" si="11"/>
        <v>0.34309727276066138</v>
      </c>
      <c r="K30" s="15">
        <f t="shared" si="11"/>
        <v>0.35728066868777525</v>
      </c>
      <c r="L30" s="15">
        <f t="shared" si="11"/>
        <v>0.34842941657205989</v>
      </c>
      <c r="M30" s="15">
        <f t="shared" si="11"/>
        <v>0.36318570970396236</v>
      </c>
      <c r="N30" s="20">
        <f t="shared" si="9"/>
        <v>0.34572584277560725</v>
      </c>
    </row>
    <row r="33" spans="1:15" x14ac:dyDescent="0.25">
      <c r="B33" s="1" t="s">
        <v>19</v>
      </c>
    </row>
    <row r="36" spans="1:15" x14ac:dyDescent="0.25">
      <c r="A36" s="18"/>
      <c r="B36" s="12"/>
      <c r="C36" s="12"/>
      <c r="D36" s="12">
        <v>0</v>
      </c>
      <c r="E36" s="12">
        <v>10</v>
      </c>
      <c r="F36" s="12">
        <v>20</v>
      </c>
      <c r="G36" s="12">
        <v>30</v>
      </c>
      <c r="H36" s="12">
        <v>40</v>
      </c>
      <c r="I36" s="12">
        <v>50</v>
      </c>
      <c r="J36" s="12">
        <v>60</v>
      </c>
      <c r="K36" s="12">
        <v>70</v>
      </c>
      <c r="L36" s="12">
        <v>80</v>
      </c>
      <c r="M36" s="12">
        <v>90</v>
      </c>
      <c r="N36" s="18" t="s">
        <v>21</v>
      </c>
      <c r="O36" s="19"/>
    </row>
    <row r="37" spans="1:15" x14ac:dyDescent="0.25">
      <c r="A37" s="9" t="s">
        <v>28</v>
      </c>
      <c r="B37" s="5" t="s">
        <v>24</v>
      </c>
      <c r="C37" s="5" t="s">
        <v>22</v>
      </c>
      <c r="D37" s="21">
        <v>48634.745654251601</v>
      </c>
      <c r="E37" s="21">
        <v>48760.9653211767</v>
      </c>
      <c r="F37" s="21">
        <v>45757.400963815802</v>
      </c>
      <c r="G37" s="21">
        <v>45569.111132614598</v>
      </c>
      <c r="H37" s="21">
        <v>44244.618036047199</v>
      </c>
      <c r="I37" s="21">
        <v>46201.344330360502</v>
      </c>
      <c r="J37" s="21">
        <v>45293.182853468497</v>
      </c>
      <c r="K37" s="21">
        <v>44367.298333510502</v>
      </c>
      <c r="L37" s="21">
        <v>43898.109056536501</v>
      </c>
      <c r="M37" s="21">
        <v>43689.171789631298</v>
      </c>
      <c r="N37" s="21">
        <f>AVERAGE(D37:M37)</f>
        <v>45641.594747141324</v>
      </c>
      <c r="O37" s="19"/>
    </row>
    <row r="38" spans="1:15" x14ac:dyDescent="0.25">
      <c r="A38" s="9"/>
      <c r="B38" s="5" t="s">
        <v>34</v>
      </c>
      <c r="C38" s="5" t="s">
        <v>22</v>
      </c>
      <c r="D38" s="21">
        <v>120659.294513228</v>
      </c>
      <c r="E38" s="21">
        <v>119388.43559079101</v>
      </c>
      <c r="F38" s="21">
        <v>118129.797459814</v>
      </c>
      <c r="G38" s="21">
        <v>122388.16360867499</v>
      </c>
      <c r="H38" s="21">
        <v>122628.22674962701</v>
      </c>
      <c r="I38" s="21">
        <v>114310.93378494801</v>
      </c>
      <c r="J38" s="21">
        <v>118871.369702572</v>
      </c>
      <c r="K38" s="21">
        <v>121843.818725266</v>
      </c>
      <c r="L38" s="21">
        <v>112926.943342093</v>
      </c>
      <c r="M38" s="21">
        <v>118014.458580163</v>
      </c>
      <c r="N38" s="21">
        <f t="shared" ref="N38:N41" si="12">AVERAGE(D38:M38)</f>
        <v>118916.14420571769</v>
      </c>
      <c r="O38" s="19"/>
    </row>
    <row r="39" spans="1:15" x14ac:dyDescent="0.25">
      <c r="A39" s="9"/>
      <c r="B39" s="5"/>
      <c r="C39" s="5" t="s">
        <v>16</v>
      </c>
      <c r="D39" s="14">
        <f>(D38-D37)/D37</f>
        <v>1.4809278405813988</v>
      </c>
      <c r="E39" s="14">
        <f t="shared" ref="E39:M39" si="13">(E38-E37)/E37</f>
        <v>1.448442823155945</v>
      </c>
      <c r="F39" s="14">
        <f t="shared" si="13"/>
        <v>1.5816544421574357</v>
      </c>
      <c r="G39" s="14">
        <f t="shared" si="13"/>
        <v>1.6857702633808822</v>
      </c>
      <c r="H39" s="14">
        <f t="shared" si="13"/>
        <v>1.7715964606072248</v>
      </c>
      <c r="I39" s="14">
        <f t="shared" si="13"/>
        <v>1.4741906418907023</v>
      </c>
      <c r="J39" s="14">
        <f t="shared" si="13"/>
        <v>1.6244870025394778</v>
      </c>
      <c r="K39" s="14">
        <f t="shared" si="13"/>
        <v>1.7462528326462847</v>
      </c>
      <c r="L39" s="14">
        <f t="shared" si="13"/>
        <v>1.5724785365277139</v>
      </c>
      <c r="M39" s="14">
        <f t="shared" si="13"/>
        <v>1.7012290173047238</v>
      </c>
      <c r="N39" s="17">
        <f t="shared" si="12"/>
        <v>1.6087029860791788</v>
      </c>
      <c r="O39" s="19"/>
    </row>
    <row r="40" spans="1:15" x14ac:dyDescent="0.25">
      <c r="A40" s="9"/>
      <c r="B40" s="5" t="s">
        <v>35</v>
      </c>
      <c r="C40" s="5" t="s">
        <v>22</v>
      </c>
      <c r="D40" s="21">
        <v>196815.47645101399</v>
      </c>
      <c r="E40" s="21">
        <v>192118.02107441999</v>
      </c>
      <c r="F40" s="21">
        <v>197492.27602121601</v>
      </c>
      <c r="G40" s="21">
        <v>193473.841272652</v>
      </c>
      <c r="H40" s="21">
        <v>183582.64635785401</v>
      </c>
      <c r="I40" s="21">
        <v>187020.73183696499</v>
      </c>
      <c r="J40" s="21">
        <v>172191.214855934</v>
      </c>
      <c r="K40" s="21">
        <v>193704.81120601899</v>
      </c>
      <c r="L40" s="21">
        <v>179315.65749832799</v>
      </c>
      <c r="M40" s="21">
        <v>177774.39381311499</v>
      </c>
      <c r="N40" s="21">
        <f t="shared" si="12"/>
        <v>187348.90703875173</v>
      </c>
      <c r="O40" s="19"/>
    </row>
    <row r="41" spans="1:15" x14ac:dyDescent="0.25">
      <c r="A41" s="9"/>
      <c r="B41" s="5"/>
      <c r="C41" s="7" t="s">
        <v>16</v>
      </c>
      <c r="D41" s="15">
        <f t="shared" ref="D41:M41" si="14">(D40-D37)/D37</f>
        <v>3.0468079724358255</v>
      </c>
      <c r="E41" s="15">
        <f t="shared" si="14"/>
        <v>2.9399962615379942</v>
      </c>
      <c r="F41" s="15">
        <f t="shared" si="14"/>
        <v>3.3160728507589328</v>
      </c>
      <c r="G41" s="15">
        <f t="shared" si="14"/>
        <v>3.2457233960435854</v>
      </c>
      <c r="H41" s="15">
        <f t="shared" si="14"/>
        <v>3.1492650294389395</v>
      </c>
      <c r="I41" s="15">
        <f t="shared" si="14"/>
        <v>3.0479500011878917</v>
      </c>
      <c r="J41" s="15">
        <f t="shared" si="14"/>
        <v>2.801702684772744</v>
      </c>
      <c r="K41" s="15">
        <f t="shared" si="14"/>
        <v>3.3659365902772191</v>
      </c>
      <c r="L41" s="15">
        <f t="shared" si="14"/>
        <v>3.0848150718152083</v>
      </c>
      <c r="M41" s="15">
        <f t="shared" si="14"/>
        <v>3.0690721872486026</v>
      </c>
      <c r="N41" s="15">
        <f t="shared" si="12"/>
        <v>3.1067342045516946</v>
      </c>
      <c r="O41" s="19"/>
    </row>
    <row r="42" spans="1:15" x14ac:dyDescent="0.25">
      <c r="A42" s="9" t="s">
        <v>29</v>
      </c>
      <c r="B42" s="5" t="s">
        <v>24</v>
      </c>
      <c r="C42" s="5" t="s">
        <v>22</v>
      </c>
      <c r="D42" s="21">
        <v>92418.793031956593</v>
      </c>
      <c r="E42" s="21">
        <v>87220.049327913599</v>
      </c>
      <c r="F42" s="21">
        <v>95933.083517402003</v>
      </c>
      <c r="G42" s="21">
        <v>86625.694215880198</v>
      </c>
      <c r="H42" s="21">
        <v>87754.278502426605</v>
      </c>
      <c r="I42" s="21">
        <v>92630.856854284299</v>
      </c>
      <c r="J42" s="21">
        <v>84874.550489915506</v>
      </c>
      <c r="K42" s="21">
        <v>86085.619975868904</v>
      </c>
      <c r="L42" s="21">
        <v>98802.152705249799</v>
      </c>
      <c r="M42" s="21">
        <v>93452.6150624687</v>
      </c>
      <c r="N42" s="21">
        <f>AVERAGE(D42:M42)</f>
        <v>90579.769368336623</v>
      </c>
      <c r="O42" s="19"/>
    </row>
    <row r="43" spans="1:15" x14ac:dyDescent="0.25">
      <c r="A43" s="9"/>
      <c r="B43" s="5" t="s">
        <v>34</v>
      </c>
      <c r="C43" s="5" t="s">
        <v>22</v>
      </c>
      <c r="D43" s="21">
        <v>163732.938475831</v>
      </c>
      <c r="E43" s="21">
        <v>158734.43240871601</v>
      </c>
      <c r="F43" s="21">
        <v>154219.05117063501</v>
      </c>
      <c r="G43" s="21">
        <v>161876.712759841</v>
      </c>
      <c r="H43" s="21">
        <v>154806.14929922001</v>
      </c>
      <c r="I43" s="21">
        <v>154222.405521882</v>
      </c>
      <c r="J43" s="21">
        <v>151027.85987368401</v>
      </c>
      <c r="K43" s="21">
        <v>148482.33402746101</v>
      </c>
      <c r="L43" s="21">
        <v>155943.027032624</v>
      </c>
      <c r="M43" s="21">
        <v>154724.32579390801</v>
      </c>
      <c r="N43" s="21">
        <f t="shared" ref="N43:N46" si="15">AVERAGE(D43:M43)</f>
        <v>155776.92363638018</v>
      </c>
      <c r="O43" s="19"/>
    </row>
    <row r="44" spans="1:15" x14ac:dyDescent="0.25">
      <c r="A44" s="9"/>
      <c r="B44" s="5"/>
      <c r="C44" s="5" t="s">
        <v>16</v>
      </c>
      <c r="D44" s="14">
        <f>(D43-D42)/D42</f>
        <v>0.77164116847117215</v>
      </c>
      <c r="E44" s="14">
        <f t="shared" ref="E44:M44" si="16">(E43-E42)/E42</f>
        <v>0.81993055073766385</v>
      </c>
      <c r="F44" s="14">
        <f t="shared" si="16"/>
        <v>0.60756900035075057</v>
      </c>
      <c r="G44" s="14">
        <f t="shared" si="16"/>
        <v>0.86869166504371642</v>
      </c>
      <c r="H44" s="14">
        <f t="shared" si="16"/>
        <v>0.76408662849343878</v>
      </c>
      <c r="I44" s="14">
        <f t="shared" si="16"/>
        <v>0.66491394724423314</v>
      </c>
      <c r="J44" s="14">
        <f t="shared" si="16"/>
        <v>0.77942456250921299</v>
      </c>
      <c r="K44" s="14">
        <f t="shared" si="16"/>
        <v>0.72482156798177033</v>
      </c>
      <c r="L44" s="14">
        <f t="shared" si="16"/>
        <v>0.57833632934941159</v>
      </c>
      <c r="M44" s="14">
        <f t="shared" si="16"/>
        <v>0.65564468892049765</v>
      </c>
      <c r="N44" s="14">
        <f t="shared" si="15"/>
        <v>0.72350601091018674</v>
      </c>
      <c r="O44" s="19"/>
    </row>
    <row r="45" spans="1:15" x14ac:dyDescent="0.25">
      <c r="A45" s="9"/>
      <c r="B45" s="5" t="s">
        <v>35</v>
      </c>
      <c r="C45" s="5" t="s">
        <v>22</v>
      </c>
      <c r="D45" s="21">
        <v>240582.05574873599</v>
      </c>
      <c r="E45" s="21">
        <v>227691.11659753401</v>
      </c>
      <c r="F45" s="21">
        <v>223222.531449214</v>
      </c>
      <c r="G45" s="21">
        <v>232277.695200733</v>
      </c>
      <c r="H45" s="21">
        <v>218567.39482422901</v>
      </c>
      <c r="I45" s="21">
        <v>219972.87267082499</v>
      </c>
      <c r="J45" s="21">
        <v>225106.90377667799</v>
      </c>
      <c r="K45" s="21">
        <v>218610.148839064</v>
      </c>
      <c r="L45" s="21">
        <v>224824.027833195</v>
      </c>
      <c r="M45" s="21">
        <v>219996.21959969201</v>
      </c>
      <c r="N45" s="21">
        <f t="shared" si="15"/>
        <v>225085.09665398998</v>
      </c>
      <c r="O45" s="19"/>
    </row>
    <row r="46" spans="1:15" x14ac:dyDescent="0.25">
      <c r="A46" s="9"/>
      <c r="B46" s="5"/>
      <c r="C46" s="7" t="s">
        <v>16</v>
      </c>
      <c r="D46" s="15">
        <f>(D45-D42)/D42</f>
        <v>1.6031724485467742</v>
      </c>
      <c r="E46" s="15">
        <f t="shared" ref="E46:M46" si="17">(E45-E42)/E42</f>
        <v>1.6105364345931934</v>
      </c>
      <c r="F46" s="15">
        <f t="shared" si="17"/>
        <v>1.3268566303169234</v>
      </c>
      <c r="G46" s="15">
        <f t="shared" si="17"/>
        <v>1.6813949060179871</v>
      </c>
      <c r="H46" s="15">
        <f t="shared" si="17"/>
        <v>1.4906750822204655</v>
      </c>
      <c r="I46" s="15">
        <f t="shared" si="17"/>
        <v>1.3747256599046667</v>
      </c>
      <c r="J46" s="15">
        <f t="shared" si="17"/>
        <v>1.6522308804854808</v>
      </c>
      <c r="K46" s="15">
        <f t="shared" si="17"/>
        <v>1.5394502461658952</v>
      </c>
      <c r="L46" s="15">
        <f t="shared" si="17"/>
        <v>1.2754972607114976</v>
      </c>
      <c r="M46" s="15">
        <f t="shared" si="17"/>
        <v>1.3540937773933328</v>
      </c>
      <c r="N46" s="15">
        <f t="shared" si="15"/>
        <v>1.4908633326356218</v>
      </c>
    </row>
    <row r="47" spans="1:15" x14ac:dyDescent="0.25">
      <c r="A47" s="9" t="s">
        <v>30</v>
      </c>
      <c r="B47" s="5" t="s">
        <v>24</v>
      </c>
      <c r="C47" s="5" t="s">
        <v>22</v>
      </c>
      <c r="D47" s="21">
        <v>117302.163176528</v>
      </c>
      <c r="E47" s="21">
        <v>112542.148624789</v>
      </c>
      <c r="F47" s="21">
        <v>114510.92654632599</v>
      </c>
      <c r="G47" s="21">
        <v>111200.96214299501</v>
      </c>
      <c r="H47" s="21">
        <v>118202.43327574</v>
      </c>
      <c r="I47" s="21">
        <v>117474.576198254</v>
      </c>
      <c r="J47" s="21">
        <v>115019.03612679199</v>
      </c>
      <c r="K47" s="21">
        <v>119720.239701158</v>
      </c>
      <c r="L47" s="21">
        <v>118107.612499052</v>
      </c>
      <c r="M47" s="21">
        <v>120021.071211114</v>
      </c>
      <c r="N47" s="21">
        <f>AVERAGE(D47:M47)</f>
        <v>116410.11695027479</v>
      </c>
    </row>
    <row r="48" spans="1:15" x14ac:dyDescent="0.25">
      <c r="A48" s="9"/>
      <c r="B48" s="5" t="s">
        <v>34</v>
      </c>
      <c r="C48" s="5" t="s">
        <v>22</v>
      </c>
      <c r="D48" s="21">
        <v>208593.115143264</v>
      </c>
      <c r="E48" s="21">
        <v>203531.800833421</v>
      </c>
      <c r="F48" s="21">
        <v>200582.54275533199</v>
      </c>
      <c r="G48" s="21">
        <v>206970.67328057101</v>
      </c>
      <c r="H48" s="21">
        <v>196802.20016405301</v>
      </c>
      <c r="I48" s="21">
        <v>201603.28512626601</v>
      </c>
      <c r="J48" s="21">
        <v>202018.79306299301</v>
      </c>
      <c r="K48" s="21">
        <v>198608.257839862</v>
      </c>
      <c r="L48" s="21">
        <v>202612.96836445399</v>
      </c>
      <c r="M48" s="21">
        <v>201824.77475419099</v>
      </c>
      <c r="N48" s="21">
        <f t="shared" ref="N48:N51" si="18">AVERAGE(D48:M48)</f>
        <v>202314.84113244072</v>
      </c>
    </row>
    <row r="49" spans="1:21" x14ac:dyDescent="0.25">
      <c r="A49" s="9"/>
      <c r="B49" s="5"/>
      <c r="C49" s="5" t="s">
        <v>16</v>
      </c>
      <c r="D49" s="14">
        <f>(D48-D47)/D47</f>
        <v>0.77825463311663112</v>
      </c>
      <c r="E49" s="14">
        <f t="shared" ref="E49:M49" si="19">(E48-E47)/E47</f>
        <v>0.80849400265128979</v>
      </c>
      <c r="F49" s="14">
        <f t="shared" si="19"/>
        <v>0.75164544384491794</v>
      </c>
      <c r="G49" s="14">
        <f t="shared" si="19"/>
        <v>0.86123095782592485</v>
      </c>
      <c r="H49" s="14">
        <f t="shared" si="19"/>
        <v>0.66495895820483852</v>
      </c>
      <c r="I49" s="14">
        <f t="shared" si="19"/>
        <v>0.71614396621472898</v>
      </c>
      <c r="J49" s="14">
        <f t="shared" si="19"/>
        <v>0.75639441840128319</v>
      </c>
      <c r="K49" s="14">
        <f t="shared" si="19"/>
        <v>0.65893635308133236</v>
      </c>
      <c r="L49" s="14">
        <f t="shared" si="19"/>
        <v>0.71549457378185743</v>
      </c>
      <c r="M49" s="14">
        <f t="shared" si="19"/>
        <v>0.6815778489360953</v>
      </c>
      <c r="N49" s="14">
        <f t="shared" si="18"/>
        <v>0.73931311560588997</v>
      </c>
    </row>
    <row r="50" spans="1:21" x14ac:dyDescent="0.25">
      <c r="A50" s="9"/>
      <c r="B50" s="5" t="s">
        <v>35</v>
      </c>
      <c r="C50" s="5" t="s">
        <v>22</v>
      </c>
      <c r="D50" s="21">
        <v>284647.98313861003</v>
      </c>
      <c r="E50" s="21">
        <v>288270.43017253699</v>
      </c>
      <c r="F50" s="21">
        <v>273676.09115388198</v>
      </c>
      <c r="G50" s="21">
        <v>281347.84855230502</v>
      </c>
      <c r="H50" s="21">
        <v>276711.849957673</v>
      </c>
      <c r="I50" s="21">
        <v>277253.38194471702</v>
      </c>
      <c r="J50" s="21">
        <v>283081.56052531599</v>
      </c>
      <c r="K50" s="21">
        <v>272194.20790298498</v>
      </c>
      <c r="L50" s="21">
        <v>274482.816577808</v>
      </c>
      <c r="M50" s="21">
        <v>271354.689229529</v>
      </c>
      <c r="N50" s="21">
        <f t="shared" si="18"/>
        <v>278302.08591553615</v>
      </c>
    </row>
    <row r="51" spans="1:21" x14ac:dyDescent="0.25">
      <c r="A51" s="9"/>
      <c r="B51" s="5"/>
      <c r="C51" s="7" t="s">
        <v>16</v>
      </c>
      <c r="D51" s="15">
        <f>(D50-D47)/D47</f>
        <v>1.4266217726116723</v>
      </c>
      <c r="E51" s="15">
        <f t="shared" ref="E51:M51" si="20">(E50-E47)/E47</f>
        <v>1.5614441673192061</v>
      </c>
      <c r="F51" s="15">
        <f t="shared" si="20"/>
        <v>1.3899561326417604</v>
      </c>
      <c r="G51" s="15">
        <f t="shared" si="20"/>
        <v>1.5300846605132385</v>
      </c>
      <c r="H51" s="15">
        <f t="shared" si="20"/>
        <v>1.3409996079536346</v>
      </c>
      <c r="I51" s="15">
        <f t="shared" si="20"/>
        <v>1.3601139150041708</v>
      </c>
      <c r="J51" s="15">
        <f t="shared" si="20"/>
        <v>1.4611713856935749</v>
      </c>
      <c r="K51" s="15">
        <f t="shared" si="20"/>
        <v>1.2735855573161883</v>
      </c>
      <c r="L51" s="15">
        <f t="shared" si="20"/>
        <v>1.3240061395704796</v>
      </c>
      <c r="M51" s="15">
        <f t="shared" si="20"/>
        <v>1.2608920791268645</v>
      </c>
      <c r="N51" s="15">
        <f t="shared" si="18"/>
        <v>1.3928875417750792</v>
      </c>
    </row>
    <row r="52" spans="1:21" x14ac:dyDescent="0.25">
      <c r="A52" s="9" t="s">
        <v>31</v>
      </c>
      <c r="B52" s="5" t="s">
        <v>24</v>
      </c>
      <c r="C52" s="5" t="s">
        <v>22</v>
      </c>
      <c r="D52" s="21">
        <v>155826.223319757</v>
      </c>
      <c r="E52" s="21">
        <v>153473.91907607199</v>
      </c>
      <c r="F52" s="21">
        <v>147717.37114971699</v>
      </c>
      <c r="G52" s="21">
        <v>147660.494639532</v>
      </c>
      <c r="H52" s="21">
        <v>147039.78435568101</v>
      </c>
      <c r="I52" s="21">
        <v>145683.130453677</v>
      </c>
      <c r="J52" s="21">
        <v>146829.08849597001</v>
      </c>
      <c r="K52" s="21">
        <v>146594.00837857899</v>
      </c>
      <c r="L52" s="21">
        <v>144331.55572123299</v>
      </c>
      <c r="M52" s="21">
        <v>141973.88077889799</v>
      </c>
      <c r="N52" s="23">
        <f>AVERAGE(D52:M52)</f>
        <v>147712.94563691161</v>
      </c>
    </row>
    <row r="53" spans="1:21" x14ac:dyDescent="0.25">
      <c r="A53" s="9"/>
      <c r="B53" s="5" t="s">
        <v>34</v>
      </c>
      <c r="C53" s="5" t="s">
        <v>22</v>
      </c>
      <c r="D53" s="21">
        <v>268013.63925752899</v>
      </c>
      <c r="E53" s="21">
        <v>261386.253040479</v>
      </c>
      <c r="F53" s="21">
        <v>277657.96650794399</v>
      </c>
      <c r="G53" s="21">
        <v>264554.982321052</v>
      </c>
      <c r="H53" s="21">
        <v>261577.744648975</v>
      </c>
      <c r="I53" s="21">
        <v>269317.12010979</v>
      </c>
      <c r="J53" s="21">
        <v>269273.03819372202</v>
      </c>
      <c r="K53" s="21">
        <v>272047.975165718</v>
      </c>
      <c r="L53" s="21">
        <v>261439.633832736</v>
      </c>
      <c r="M53" s="21">
        <v>272774.39652211999</v>
      </c>
      <c r="N53" s="23">
        <f t="shared" ref="N53:N56" si="21">AVERAGE(D53:M53)</f>
        <v>267804.27496000653</v>
      </c>
    </row>
    <row r="54" spans="1:21" x14ac:dyDescent="0.25">
      <c r="A54" s="9"/>
      <c r="B54" s="5"/>
      <c r="C54" s="5" t="s">
        <v>16</v>
      </c>
      <c r="D54" s="14">
        <f>(D53-D52)/D52</f>
        <v>0.71995209501780888</v>
      </c>
      <c r="E54" s="14">
        <f t="shared" ref="E54:M54" si="22">(E53-E52)/E52</f>
        <v>0.70313141551378766</v>
      </c>
      <c r="F54" s="14">
        <f t="shared" si="22"/>
        <v>0.87965683620599655</v>
      </c>
      <c r="G54" s="14">
        <f t="shared" si="22"/>
        <v>0.79164361440669817</v>
      </c>
      <c r="H54" s="14">
        <f t="shared" si="22"/>
        <v>0.7789589789946445</v>
      </c>
      <c r="I54" s="14">
        <f t="shared" si="22"/>
        <v>0.84865000684087455</v>
      </c>
      <c r="J54" s="14">
        <f t="shared" si="22"/>
        <v>0.83392160880378086</v>
      </c>
      <c r="K54" s="14">
        <f t="shared" si="22"/>
        <v>0.8557919124713077</v>
      </c>
      <c r="L54" s="14">
        <f t="shared" si="22"/>
        <v>0.81138235866929642</v>
      </c>
      <c r="M54" s="14">
        <f t="shared" si="22"/>
        <v>0.92129985477345122</v>
      </c>
      <c r="N54" s="22">
        <f t="shared" si="21"/>
        <v>0.81443886816976452</v>
      </c>
    </row>
    <row r="55" spans="1:21" x14ac:dyDescent="0.25">
      <c r="A55" s="9"/>
      <c r="B55" s="5" t="s">
        <v>35</v>
      </c>
      <c r="C55" s="5" t="s">
        <v>22</v>
      </c>
      <c r="D55" s="21">
        <v>341339.032879084</v>
      </c>
      <c r="E55" s="21">
        <v>348782.72807513498</v>
      </c>
      <c r="F55" s="21">
        <v>345609.36055140197</v>
      </c>
      <c r="G55" s="21">
        <v>351183.35087134998</v>
      </c>
      <c r="H55" s="21">
        <v>339838.33759540698</v>
      </c>
      <c r="I55" s="21">
        <v>337380.90917603398</v>
      </c>
      <c r="J55" s="21">
        <v>345485.37809485698</v>
      </c>
      <c r="K55" s="21">
        <v>335333.693408361</v>
      </c>
      <c r="L55" s="21">
        <v>338603.920631569</v>
      </c>
      <c r="M55" s="21">
        <v>339692.572744067</v>
      </c>
      <c r="N55" s="23">
        <f>AVERAGE(D55:M55)</f>
        <v>342324.92840272654</v>
      </c>
    </row>
    <row r="56" spans="1:21" x14ac:dyDescent="0.25">
      <c r="A56" s="10"/>
      <c r="B56" s="7"/>
      <c r="C56" s="7" t="s">
        <v>16</v>
      </c>
      <c r="D56" s="15">
        <f t="shared" ref="D56:M56" si="23">(D55-D52)/D52</f>
        <v>1.1905108498885506</v>
      </c>
      <c r="E56" s="15">
        <f t="shared" si="23"/>
        <v>1.2725863141753408</v>
      </c>
      <c r="F56" s="15">
        <f t="shared" si="23"/>
        <v>1.3396663362030332</v>
      </c>
      <c r="G56" s="15">
        <f t="shared" si="23"/>
        <v>1.37831622959585</v>
      </c>
      <c r="H56" s="15">
        <f t="shared" si="23"/>
        <v>1.3111999183388154</v>
      </c>
      <c r="I56" s="15">
        <f t="shared" si="23"/>
        <v>1.3158543348525262</v>
      </c>
      <c r="J56" s="15">
        <f t="shared" si="23"/>
        <v>1.3529763865852744</v>
      </c>
      <c r="K56" s="15">
        <f t="shared" si="23"/>
        <v>1.2874993126756027</v>
      </c>
      <c r="L56" s="15">
        <f t="shared" si="23"/>
        <v>1.3460144868497119</v>
      </c>
      <c r="M56" s="15">
        <f t="shared" si="23"/>
        <v>1.3926413145885954</v>
      </c>
      <c r="N56" s="15">
        <f t="shared" si="21"/>
        <v>1.3187265483753301</v>
      </c>
    </row>
    <row r="58" spans="1:21" x14ac:dyDescent="0.25">
      <c r="I58" s="13"/>
      <c r="J58" s="32" t="s">
        <v>34</v>
      </c>
      <c r="K58" s="32"/>
      <c r="L58" s="32"/>
      <c r="M58" s="32"/>
      <c r="N58" s="32"/>
      <c r="O58" s="32"/>
      <c r="P58" s="32" t="s">
        <v>35</v>
      </c>
      <c r="Q58" s="32"/>
      <c r="R58" s="32"/>
      <c r="S58" s="32"/>
      <c r="T58" s="32"/>
      <c r="U58" s="32"/>
    </row>
    <row r="59" spans="1:21" x14ac:dyDescent="0.25">
      <c r="I59" s="5"/>
      <c r="J59" s="33" t="s">
        <v>36</v>
      </c>
      <c r="K59" s="33"/>
      <c r="L59" s="33" t="s">
        <v>37</v>
      </c>
      <c r="M59" s="33"/>
      <c r="N59" s="33" t="s">
        <v>38</v>
      </c>
      <c r="O59" s="33"/>
      <c r="P59" s="33" t="s">
        <v>36</v>
      </c>
      <c r="Q59" s="33"/>
      <c r="R59" s="33" t="s">
        <v>37</v>
      </c>
      <c r="S59" s="33"/>
      <c r="T59" s="33" t="s">
        <v>38</v>
      </c>
      <c r="U59" s="33"/>
    </row>
    <row r="60" spans="1:21" ht="14.4" customHeight="1" x14ac:dyDescent="0.25">
      <c r="I60" s="7"/>
      <c r="J60" s="7" t="s">
        <v>28</v>
      </c>
      <c r="K60" s="7" t="s">
        <v>29</v>
      </c>
      <c r="L60" s="7" t="s">
        <v>28</v>
      </c>
      <c r="M60" s="7" t="s">
        <v>29</v>
      </c>
      <c r="N60" s="7" t="s">
        <v>28</v>
      </c>
      <c r="O60" s="7" t="s">
        <v>29</v>
      </c>
      <c r="P60" s="7" t="s">
        <v>28</v>
      </c>
      <c r="Q60" s="7" t="s">
        <v>29</v>
      </c>
      <c r="R60" s="7" t="s">
        <v>28</v>
      </c>
      <c r="S60" s="7" t="s">
        <v>29</v>
      </c>
      <c r="T60" s="7" t="s">
        <v>28</v>
      </c>
      <c r="U60" s="7" t="s">
        <v>29</v>
      </c>
    </row>
    <row r="61" spans="1:21" x14ac:dyDescent="0.25">
      <c r="I61" s="5" t="s">
        <v>32</v>
      </c>
      <c r="J61" s="27">
        <v>0.9852679144301526</v>
      </c>
      <c r="K61" s="27">
        <v>0.50007672772827072</v>
      </c>
      <c r="L61" s="14">
        <v>1.0586698039434925</v>
      </c>
      <c r="M61" s="17">
        <v>0.57928810615967041</v>
      </c>
      <c r="N61" s="27">
        <v>1.2229562543584764</v>
      </c>
      <c r="O61" s="27">
        <v>0.66200000000000003</v>
      </c>
      <c r="P61" s="27">
        <v>1.9668938932276632</v>
      </c>
      <c r="Q61" s="27">
        <v>0.92803211870389823</v>
      </c>
      <c r="R61" s="28">
        <v>2.1430431252938655</v>
      </c>
      <c r="S61" s="28">
        <v>1.0717871401937817</v>
      </c>
      <c r="T61" s="27">
        <v>2.4337261854805097</v>
      </c>
      <c r="U61" s="27">
        <v>1.1767137871995734</v>
      </c>
    </row>
    <row r="62" spans="1:21" x14ac:dyDescent="0.25">
      <c r="E62" s="11"/>
      <c r="I62" s="7" t="s">
        <v>33</v>
      </c>
      <c r="J62" s="26">
        <v>0.504</v>
      </c>
      <c r="K62" s="26">
        <v>0.317</v>
      </c>
      <c r="L62" s="15">
        <v>0.59799999999999998</v>
      </c>
      <c r="M62" s="15">
        <v>0.40899999999999997</v>
      </c>
      <c r="N62" s="26">
        <v>0.69899999999999995</v>
      </c>
      <c r="O62" s="26">
        <v>0.50600000000000001</v>
      </c>
      <c r="P62" s="29">
        <v>1.2465366213442552</v>
      </c>
      <c r="Q62" s="29">
        <v>0.62200038221358667</v>
      </c>
      <c r="R62" s="20">
        <v>1.3429901245957896</v>
      </c>
      <c r="S62" s="20">
        <v>0.71135197603267564</v>
      </c>
      <c r="T62" s="29">
        <v>1.5175892660414867</v>
      </c>
      <c r="U62" s="29">
        <v>0.81759744891429564</v>
      </c>
    </row>
    <row r="63" spans="1:21" x14ac:dyDescent="0.25">
      <c r="E63" s="11"/>
    </row>
    <row r="64" spans="1:21" x14ac:dyDescent="0.25">
      <c r="E64" s="11"/>
    </row>
    <row r="65" spans="1:16" x14ac:dyDescent="0.25">
      <c r="A65" s="8"/>
      <c r="B65" s="12"/>
      <c r="C65" s="12"/>
      <c r="D65" s="12">
        <v>0</v>
      </c>
      <c r="E65" s="12">
        <v>10</v>
      </c>
      <c r="F65" s="12">
        <v>20</v>
      </c>
      <c r="G65" s="12">
        <v>30</v>
      </c>
      <c r="H65" s="12">
        <v>40</v>
      </c>
      <c r="I65" s="12">
        <v>50</v>
      </c>
      <c r="J65" s="12">
        <v>60</v>
      </c>
      <c r="K65" s="12">
        <v>70</v>
      </c>
      <c r="L65" s="12">
        <v>80</v>
      </c>
      <c r="M65" s="12">
        <v>90</v>
      </c>
      <c r="N65" s="18" t="s">
        <v>21</v>
      </c>
    </row>
    <row r="66" spans="1:16" x14ac:dyDescent="0.25">
      <c r="A66" s="9" t="s">
        <v>39</v>
      </c>
      <c r="B66" s="5" t="s">
        <v>24</v>
      </c>
      <c r="C66" s="5" t="s">
        <v>22</v>
      </c>
      <c r="D66" s="21">
        <v>72361.977239149506</v>
      </c>
      <c r="E66" s="21">
        <v>73582.651082518307</v>
      </c>
      <c r="F66" s="21">
        <v>65032.6503801039</v>
      </c>
      <c r="G66" s="21">
        <v>66910.244506531904</v>
      </c>
      <c r="H66" s="21">
        <v>71116.613583986007</v>
      </c>
      <c r="I66" s="21">
        <v>70695.408854673195</v>
      </c>
      <c r="J66" s="21">
        <v>70004.138799248496</v>
      </c>
      <c r="K66" s="21">
        <v>67746.489469621796</v>
      </c>
      <c r="L66" s="21">
        <v>68216.247325443401</v>
      </c>
      <c r="M66" s="21">
        <v>69655.342792535797</v>
      </c>
      <c r="N66" s="23">
        <f>AVERAGE(D66:M66)</f>
        <v>69532.176403381236</v>
      </c>
    </row>
    <row r="67" spans="1:16" x14ac:dyDescent="0.25">
      <c r="A67" s="9"/>
      <c r="B67" s="5" t="s">
        <v>34</v>
      </c>
      <c r="C67" s="5" t="s">
        <v>22</v>
      </c>
      <c r="D67" s="21">
        <v>147389.92026567401</v>
      </c>
      <c r="E67" s="21">
        <v>147469.54421973301</v>
      </c>
      <c r="F67" s="21">
        <v>141481.95076915401</v>
      </c>
      <c r="G67" s="21">
        <v>148738.54650644999</v>
      </c>
      <c r="H67" s="21">
        <v>144364.41105610499</v>
      </c>
      <c r="I67" s="21">
        <v>140745.222822963</v>
      </c>
      <c r="J67" s="21">
        <v>138976.97063546299</v>
      </c>
      <c r="K67" s="21">
        <v>139494.774636466</v>
      </c>
      <c r="L67" s="21">
        <v>141625.46931155201</v>
      </c>
      <c r="M67" s="21">
        <v>139722.61118056101</v>
      </c>
      <c r="N67" s="23">
        <f t="shared" ref="N67:N70" si="24">AVERAGE(D67:M67)</f>
        <v>143000.94214041214</v>
      </c>
      <c r="O67" s="19"/>
    </row>
    <row r="68" spans="1:16" x14ac:dyDescent="0.25">
      <c r="A68" s="9"/>
      <c r="B68" s="5"/>
      <c r="C68" s="5" t="s">
        <v>16</v>
      </c>
      <c r="D68" s="14">
        <f t="shared" ref="D68:M68" si="25">(D67-D66)/D66</f>
        <v>1.0368420804556546</v>
      </c>
      <c r="E68" s="14">
        <f t="shared" si="25"/>
        <v>1.004134698196117</v>
      </c>
      <c r="F68" s="14">
        <f t="shared" si="25"/>
        <v>1.1755525869269972</v>
      </c>
      <c r="G68" s="14">
        <f t="shared" si="25"/>
        <v>1.2229562543584764</v>
      </c>
      <c r="H68" s="14">
        <f t="shared" si="25"/>
        <v>1.0299674545894417</v>
      </c>
      <c r="I68" s="14">
        <f t="shared" si="25"/>
        <v>0.99086793758120095</v>
      </c>
      <c r="J68" s="14">
        <f t="shared" si="25"/>
        <v>0.9852679144301526</v>
      </c>
      <c r="K68" s="14">
        <f t="shared" si="25"/>
        <v>1.0590701559379967</v>
      </c>
      <c r="L68" s="14">
        <f t="shared" si="25"/>
        <v>1.0761251881225709</v>
      </c>
      <c r="M68" s="14">
        <f t="shared" si="25"/>
        <v>1.0059137688363162</v>
      </c>
      <c r="N68" s="17">
        <f t="shared" si="24"/>
        <v>1.0586698039434925</v>
      </c>
      <c r="O68" s="24">
        <f>MIN(D68:M68)</f>
        <v>0.9852679144301526</v>
      </c>
      <c r="P68" s="24">
        <f>MAX(D68:M68)</f>
        <v>1.2229562543584764</v>
      </c>
    </row>
    <row r="69" spans="1:16" x14ac:dyDescent="0.25">
      <c r="A69" s="9"/>
      <c r="B69" s="5" t="s">
        <v>35</v>
      </c>
      <c r="C69" s="5" t="s">
        <v>22</v>
      </c>
      <c r="D69" s="21">
        <v>221668.051280599</v>
      </c>
      <c r="E69" s="21">
        <v>223091.39589674</v>
      </c>
      <c r="F69" s="21">
        <v>221295.85260921001</v>
      </c>
      <c r="G69" s="21">
        <v>229751.458638982</v>
      </c>
      <c r="H69" s="21">
        <v>229000.67942228299</v>
      </c>
      <c r="I69" s="21">
        <v>215954.72222812299</v>
      </c>
      <c r="J69" s="21">
        <v>208891.13522994201</v>
      </c>
      <c r="K69" s="21">
        <v>220362.50355888301</v>
      </c>
      <c r="L69" s="21">
        <v>206031.56480312801</v>
      </c>
      <c r="M69" s="21">
        <v>206660.011161854</v>
      </c>
      <c r="N69" s="23">
        <f t="shared" si="24"/>
        <v>218270.73748297439</v>
      </c>
      <c r="O69" s="24"/>
      <c r="P69" s="24"/>
    </row>
    <row r="70" spans="1:16" x14ac:dyDescent="0.25">
      <c r="A70" s="9"/>
      <c r="B70" s="5"/>
      <c r="C70" s="7" t="s">
        <v>16</v>
      </c>
      <c r="D70" s="15">
        <f t="shared" ref="D70:M70" si="26">(D69-D66)/D66</f>
        <v>2.063322199558022</v>
      </c>
      <c r="E70" s="15">
        <f t="shared" si="26"/>
        <v>2.0318477605075285</v>
      </c>
      <c r="F70" s="15">
        <f t="shared" si="26"/>
        <v>2.4028422848488624</v>
      </c>
      <c r="G70" s="15">
        <f t="shared" si="26"/>
        <v>2.4337261854805097</v>
      </c>
      <c r="H70" s="15">
        <f t="shared" si="26"/>
        <v>2.2200728898858761</v>
      </c>
      <c r="I70" s="15">
        <f t="shared" si="26"/>
        <v>2.054720606709493</v>
      </c>
      <c r="J70" s="15">
        <f t="shared" si="26"/>
        <v>1.983982644640212</v>
      </c>
      <c r="K70" s="15">
        <f t="shared" si="26"/>
        <v>2.2527516227640954</v>
      </c>
      <c r="L70" s="15">
        <f t="shared" si="26"/>
        <v>2.0202711653163901</v>
      </c>
      <c r="M70" s="15">
        <f t="shared" si="26"/>
        <v>1.9668938932276632</v>
      </c>
      <c r="N70" s="20">
        <f t="shared" si="24"/>
        <v>2.1430431252938655</v>
      </c>
      <c r="O70" s="24">
        <f t="shared" ref="O70:O85" si="27">MIN(D70:M70)</f>
        <v>1.9668938932276632</v>
      </c>
      <c r="P70" s="24">
        <f t="shared" ref="P70:P85" si="28">MAX(D70:M70)</f>
        <v>2.4337261854805097</v>
      </c>
    </row>
    <row r="71" spans="1:16" x14ac:dyDescent="0.25">
      <c r="A71" s="9" t="s">
        <v>40</v>
      </c>
      <c r="B71" s="5" t="s">
        <v>24</v>
      </c>
      <c r="C71" s="5" t="s">
        <v>22</v>
      </c>
      <c r="D71" s="21">
        <v>161976.32173490699</v>
      </c>
      <c r="E71" s="21">
        <v>160483.57184116301</v>
      </c>
      <c r="F71" s="21">
        <v>156963.26663714799</v>
      </c>
      <c r="G71" s="21">
        <v>149694.703396856</v>
      </c>
      <c r="H71" s="21">
        <v>150637.02542723599</v>
      </c>
      <c r="I71" s="21">
        <v>152204.35752851199</v>
      </c>
      <c r="J71" s="21">
        <v>148132.454629769</v>
      </c>
      <c r="K71" s="21">
        <v>151606.88646318999</v>
      </c>
      <c r="L71" s="21">
        <v>145442.22071734999</v>
      </c>
      <c r="M71" s="21">
        <v>144894.15438290601</v>
      </c>
      <c r="N71" s="21">
        <f>AVERAGE(D71:M71)</f>
        <v>152203.49627590369</v>
      </c>
      <c r="O71" s="24"/>
      <c r="P71" s="24"/>
    </row>
    <row r="72" spans="1:16" x14ac:dyDescent="0.25">
      <c r="A72" s="9"/>
      <c r="B72" s="5" t="s">
        <v>34</v>
      </c>
      <c r="C72" s="5" t="s">
        <v>22</v>
      </c>
      <c r="D72" s="21">
        <v>249828.42514874801</v>
      </c>
      <c r="E72" s="21">
        <v>244977.94274323501</v>
      </c>
      <c r="F72" s="21">
        <v>235456.94339059299</v>
      </c>
      <c r="G72" s="21">
        <v>242982.48974785299</v>
      </c>
      <c r="H72" s="21">
        <v>232114.32728082401</v>
      </c>
      <c r="I72" s="21">
        <v>244547.83764232899</v>
      </c>
      <c r="J72" s="21">
        <v>237276.515713795</v>
      </c>
      <c r="K72" s="21">
        <v>235659.479741649</v>
      </c>
      <c r="L72" s="21">
        <v>237774.20156222099</v>
      </c>
      <c r="M72" s="21">
        <v>240830.98909276401</v>
      </c>
      <c r="N72" s="21">
        <f t="shared" ref="N72:N75" si="29">AVERAGE(D72:M72)</f>
        <v>240144.91520640114</v>
      </c>
      <c r="O72" s="24"/>
      <c r="P72" s="24"/>
    </row>
    <row r="73" spans="1:16" x14ac:dyDescent="0.25">
      <c r="A73" s="9"/>
      <c r="B73" s="5"/>
      <c r="C73" s="5" t="s">
        <v>16</v>
      </c>
      <c r="D73" s="14">
        <f>(D72-D71)/D71</f>
        <v>0.54237620951549426</v>
      </c>
      <c r="E73" s="14">
        <f t="shared" ref="E73:M73" si="30">(E72-E71)/E71</f>
        <v>0.52649856887345114</v>
      </c>
      <c r="F73" s="14">
        <f t="shared" si="30"/>
        <v>0.50007672772827072</v>
      </c>
      <c r="G73" s="14">
        <f t="shared" si="30"/>
        <v>0.62318695474269059</v>
      </c>
      <c r="H73" s="14">
        <f t="shared" si="30"/>
        <v>0.5408849625283193</v>
      </c>
      <c r="I73" s="14">
        <f t="shared" si="30"/>
        <v>0.60670720348146778</v>
      </c>
      <c r="J73" s="14">
        <f t="shared" si="30"/>
        <v>0.60178616027680021</v>
      </c>
      <c r="K73" s="14">
        <f t="shared" si="30"/>
        <v>0.554411446863048</v>
      </c>
      <c r="L73" s="14">
        <f t="shared" si="30"/>
        <v>0.63483615960668971</v>
      </c>
      <c r="M73" s="14">
        <f t="shared" si="30"/>
        <v>0.66211666798047319</v>
      </c>
      <c r="N73" s="17">
        <f>AVERAGE(D73:M73)</f>
        <v>0.57928810615967041</v>
      </c>
      <c r="O73" s="24">
        <f t="shared" si="27"/>
        <v>0.50007672772827072</v>
      </c>
      <c r="P73" s="24">
        <f t="shared" si="28"/>
        <v>0.66211666798047319</v>
      </c>
    </row>
    <row r="74" spans="1:16" x14ac:dyDescent="0.25">
      <c r="A74" s="9"/>
      <c r="B74" s="5" t="s">
        <v>35</v>
      </c>
      <c r="C74" s="5" t="s">
        <v>22</v>
      </c>
      <c r="D74" s="21">
        <v>312295.550774417</v>
      </c>
      <c r="E74" s="21">
        <v>321141.19150235603</v>
      </c>
      <c r="F74" s="21">
        <v>322443.304860337</v>
      </c>
      <c r="G74" s="21">
        <v>317048.40565207403</v>
      </c>
      <c r="H74" s="21">
        <v>307490.11011673103</v>
      </c>
      <c r="I74" s="21">
        <v>320016.40557153401</v>
      </c>
      <c r="J74" s="21">
        <v>313576.41919637902</v>
      </c>
      <c r="K74" s="21">
        <v>310433.200908606</v>
      </c>
      <c r="L74" s="21">
        <v>310013.09640152799</v>
      </c>
      <c r="M74" s="21">
        <v>315393.10352989502</v>
      </c>
      <c r="N74" s="23">
        <f t="shared" si="29"/>
        <v>314985.07885138574</v>
      </c>
      <c r="O74" s="24"/>
      <c r="P74" s="24"/>
    </row>
    <row r="75" spans="1:16" x14ac:dyDescent="0.25">
      <c r="A75" s="9"/>
      <c r="B75" s="5"/>
      <c r="C75" s="7" t="s">
        <v>16</v>
      </c>
      <c r="D75" s="15">
        <f>(D74-D71)/D71</f>
        <v>0.92803211870389823</v>
      </c>
      <c r="E75" s="15">
        <f t="shared" ref="E75:M75" si="31">(E74-E71)/E71</f>
        <v>1.0010845211010275</v>
      </c>
      <c r="F75" s="15">
        <f t="shared" si="31"/>
        <v>1.0542596479323361</v>
      </c>
      <c r="G75" s="15">
        <f t="shared" si="31"/>
        <v>1.1179667580592094</v>
      </c>
      <c r="H75" s="15">
        <f t="shared" si="31"/>
        <v>1.0412651487549565</v>
      </c>
      <c r="I75" s="15">
        <f t="shared" si="31"/>
        <v>1.1025443079813684</v>
      </c>
      <c r="J75" s="15">
        <f t="shared" si="31"/>
        <v>1.1168650717366975</v>
      </c>
      <c r="K75" s="15">
        <f t="shared" si="31"/>
        <v>1.047619393489615</v>
      </c>
      <c r="L75" s="15">
        <f t="shared" si="31"/>
        <v>1.1315206469791348</v>
      </c>
      <c r="M75" s="15">
        <f t="shared" si="31"/>
        <v>1.1767137871995734</v>
      </c>
      <c r="N75" s="20">
        <f t="shared" si="29"/>
        <v>1.0717871401937817</v>
      </c>
      <c r="O75" s="24">
        <f t="shared" si="27"/>
        <v>0.92803211870389823</v>
      </c>
      <c r="P75" s="24">
        <f t="shared" si="28"/>
        <v>1.1767137871995734</v>
      </c>
    </row>
    <row r="76" spans="1:16" x14ac:dyDescent="0.25">
      <c r="A76" s="9" t="s">
        <v>42</v>
      </c>
      <c r="B76" s="5" t="s">
        <v>24</v>
      </c>
      <c r="C76" s="5" t="s">
        <v>22</v>
      </c>
      <c r="D76" s="21">
        <v>106675.96438618199</v>
      </c>
      <c r="E76" s="21">
        <v>102733.21349763501</v>
      </c>
      <c r="F76" s="21">
        <v>105052.155121812</v>
      </c>
      <c r="G76" s="21">
        <v>101975.29292974201</v>
      </c>
      <c r="H76" s="21">
        <v>103323.79538716799</v>
      </c>
      <c r="I76" s="21">
        <v>103328.37208836099</v>
      </c>
      <c r="J76" s="21">
        <v>100098.43994768499</v>
      </c>
      <c r="K76" s="21">
        <v>98149.781621222704</v>
      </c>
      <c r="L76" s="21">
        <v>96083.824347676898</v>
      </c>
      <c r="M76" s="21">
        <v>101767.30487652399</v>
      </c>
      <c r="N76" s="23">
        <f>AVERAGE(D76:M76)</f>
        <v>101918.81442040087</v>
      </c>
      <c r="O76" s="24"/>
      <c r="P76" s="24"/>
    </row>
    <row r="77" spans="1:16" x14ac:dyDescent="0.25">
      <c r="A77" s="9"/>
      <c r="B77" s="5" t="s">
        <v>34</v>
      </c>
      <c r="C77" s="5" t="s">
        <v>22</v>
      </c>
      <c r="D77" s="21">
        <v>165455.21628954899</v>
      </c>
      <c r="E77" s="21">
        <v>160750.84993105399</v>
      </c>
      <c r="F77" s="21">
        <v>158002.04546674699</v>
      </c>
      <c r="G77" s="21">
        <v>159204.279391116</v>
      </c>
      <c r="H77" s="21">
        <v>163672.46395222199</v>
      </c>
      <c r="I77" s="21">
        <v>168662.43905896999</v>
      </c>
      <c r="J77" s="21">
        <v>165314.185960798</v>
      </c>
      <c r="K77" s="21">
        <v>166764.49616169001</v>
      </c>
      <c r="L77" s="21">
        <v>163165.299976882</v>
      </c>
      <c r="M77" s="21">
        <v>156026.92690254701</v>
      </c>
      <c r="N77" s="23">
        <f t="shared" ref="N77:N80" si="32">AVERAGE(D77:M77)</f>
        <v>162701.82030915751</v>
      </c>
      <c r="O77" s="24"/>
      <c r="P77" s="24"/>
    </row>
    <row r="78" spans="1:16" x14ac:dyDescent="0.25">
      <c r="A78" s="9"/>
      <c r="B78" s="5"/>
      <c r="C78" s="5" t="s">
        <v>16</v>
      </c>
      <c r="D78" s="14">
        <f>(D77-D76)/D76</f>
        <v>0.55100745741166057</v>
      </c>
      <c r="E78" s="14">
        <f t="shared" ref="E78:M78" si="33">(E77-E76)/E76</f>
        <v>0.56474079275982736</v>
      </c>
      <c r="F78" s="14">
        <f t="shared" si="33"/>
        <v>0.50403430832558893</v>
      </c>
      <c r="G78" s="14">
        <f t="shared" si="33"/>
        <v>0.56120443312482649</v>
      </c>
      <c r="H78" s="14">
        <f t="shared" si="33"/>
        <v>0.5840732847541994</v>
      </c>
      <c r="I78" s="14">
        <f t="shared" si="33"/>
        <v>0.63229552203472961</v>
      </c>
      <c r="J78" s="14">
        <f t="shared" si="33"/>
        <v>0.65151610801524051</v>
      </c>
      <c r="K78" s="14">
        <f t="shared" si="33"/>
        <v>0.69908168318971486</v>
      </c>
      <c r="L78" s="14">
        <f t="shared" si="33"/>
        <v>0.6981557622693334</v>
      </c>
      <c r="M78" s="14">
        <f t="shared" si="33"/>
        <v>0.5331734204011509</v>
      </c>
      <c r="N78" s="17">
        <f t="shared" si="32"/>
        <v>0.59792827722862729</v>
      </c>
      <c r="O78" s="24">
        <f t="shared" si="27"/>
        <v>0.50403430832558893</v>
      </c>
      <c r="P78" s="24">
        <f t="shared" si="28"/>
        <v>0.69908168318971486</v>
      </c>
    </row>
    <row r="79" spans="1:16" x14ac:dyDescent="0.25">
      <c r="A79" s="9"/>
      <c r="B79" s="5" t="s">
        <v>35</v>
      </c>
      <c r="C79" s="5" t="s">
        <v>22</v>
      </c>
      <c r="D79" s="21">
        <v>244898.88410259399</v>
      </c>
      <c r="E79" s="21">
        <v>230793.92635081499</v>
      </c>
      <c r="F79" s="21">
        <v>248098.61810788201</v>
      </c>
      <c r="G79" s="21">
        <v>238927.252047594</v>
      </c>
      <c r="H79" s="21">
        <v>238851.368323339</v>
      </c>
      <c r="I79" s="21">
        <v>241069.16834823901</v>
      </c>
      <c r="J79" s="21">
        <v>238479.88813787501</v>
      </c>
      <c r="K79" s="21">
        <v>232490.75005142001</v>
      </c>
      <c r="L79" s="21">
        <v>241899.604817927</v>
      </c>
      <c r="M79" s="21">
        <v>230958.90598268001</v>
      </c>
      <c r="N79" s="23">
        <f t="shared" si="32"/>
        <v>238646.83662703651</v>
      </c>
      <c r="O79" s="24"/>
      <c r="P79" s="24"/>
    </row>
    <row r="80" spans="1:16" x14ac:dyDescent="0.25">
      <c r="A80" s="9"/>
      <c r="B80" s="5"/>
      <c r="C80" s="7" t="s">
        <v>16</v>
      </c>
      <c r="D80" s="15">
        <f>(D79-D76)/D76</f>
        <v>1.2957269288518038</v>
      </c>
      <c r="E80" s="15">
        <f t="shared" ref="E80:M80" si="34">(E79-E76)/E76</f>
        <v>1.2465366213442552</v>
      </c>
      <c r="F80" s="15">
        <f t="shared" si="34"/>
        <v>1.3616709035640646</v>
      </c>
      <c r="G80" s="15">
        <f t="shared" si="34"/>
        <v>1.3429915735785909</v>
      </c>
      <c r="H80" s="15">
        <f t="shared" si="34"/>
        <v>1.3116782288952047</v>
      </c>
      <c r="I80" s="15">
        <f t="shared" si="34"/>
        <v>1.3330394496304396</v>
      </c>
      <c r="J80" s="15">
        <f t="shared" si="34"/>
        <v>1.3824535953059116</v>
      </c>
      <c r="K80" s="15">
        <f t="shared" si="34"/>
        <v>1.3687342570831462</v>
      </c>
      <c r="L80" s="15">
        <f t="shared" si="34"/>
        <v>1.5175892660414867</v>
      </c>
      <c r="M80" s="15">
        <f t="shared" si="34"/>
        <v>1.2694804216629927</v>
      </c>
      <c r="N80" s="20">
        <f t="shared" si="32"/>
        <v>1.3429901245957896</v>
      </c>
      <c r="O80" s="24">
        <f t="shared" si="27"/>
        <v>1.2465366213442552</v>
      </c>
      <c r="P80" s="24">
        <f t="shared" si="28"/>
        <v>1.5175892660414867</v>
      </c>
    </row>
    <row r="81" spans="1:16" x14ac:dyDescent="0.25">
      <c r="A81" s="9" t="s">
        <v>41</v>
      </c>
      <c r="B81" s="5" t="s">
        <v>24</v>
      </c>
      <c r="C81" s="5" t="s">
        <v>22</v>
      </c>
      <c r="D81" s="21">
        <v>232863.78429780199</v>
      </c>
      <c r="E81" s="21">
        <v>230544.523873948</v>
      </c>
      <c r="F81" s="21">
        <v>214361.93937383901</v>
      </c>
      <c r="G81" s="21">
        <v>218765.90063735901</v>
      </c>
      <c r="H81" s="21">
        <v>227014.22773539001</v>
      </c>
      <c r="I81" s="21">
        <v>220337.484163346</v>
      </c>
      <c r="J81" s="21">
        <v>211959.74776174399</v>
      </c>
      <c r="K81" s="21">
        <v>220906.08367147599</v>
      </c>
      <c r="L81" s="21">
        <v>221809.69153412199</v>
      </c>
      <c r="M81" s="21">
        <v>209969.684010492</v>
      </c>
      <c r="N81" s="23">
        <f>AVERAGE(D81:M81)</f>
        <v>220853.30670595184</v>
      </c>
      <c r="O81" s="24"/>
      <c r="P81" s="24"/>
    </row>
    <row r="82" spans="1:16" x14ac:dyDescent="0.25">
      <c r="A82" s="9"/>
      <c r="B82" s="5" t="s">
        <v>34</v>
      </c>
      <c r="C82" s="5" t="s">
        <v>22</v>
      </c>
      <c r="D82" s="21">
        <v>306638.64369934099</v>
      </c>
      <c r="E82" s="21">
        <v>312595.82377715001</v>
      </c>
      <c r="F82" s="21">
        <v>314389.31584827998</v>
      </c>
      <c r="G82" s="21">
        <v>309108.99602223799</v>
      </c>
      <c r="H82" s="21">
        <v>309078.98262590001</v>
      </c>
      <c r="I82" s="21">
        <v>300465.98596722999</v>
      </c>
      <c r="J82" s="21">
        <v>310743.860785542</v>
      </c>
      <c r="K82" s="21">
        <v>323628.45801706502</v>
      </c>
      <c r="L82" s="21">
        <v>306170.43388273701</v>
      </c>
      <c r="M82" s="21">
        <v>316204.86773235799</v>
      </c>
      <c r="N82" s="23">
        <f t="shared" ref="N82:N85" si="35">AVERAGE(D82:M82)</f>
        <v>310902.53683578415</v>
      </c>
      <c r="O82" s="24"/>
      <c r="P82" s="24"/>
    </row>
    <row r="83" spans="1:16" x14ac:dyDescent="0.25">
      <c r="A83" s="9"/>
      <c r="B83" s="5"/>
      <c r="C83" s="5" t="s">
        <v>16</v>
      </c>
      <c r="D83" s="14">
        <f>(D82-D81)/D81</f>
        <v>0.31681551351579301</v>
      </c>
      <c r="E83" s="14">
        <f t="shared" ref="E83:M83" si="36">(E82-E81)/E81</f>
        <v>0.35590218550610292</v>
      </c>
      <c r="F83" s="14">
        <f t="shared" si="36"/>
        <v>0.46662843584372066</v>
      </c>
      <c r="G83" s="14">
        <f t="shared" si="36"/>
        <v>0.4129669894698888</v>
      </c>
      <c r="H83" s="14">
        <f t="shared" si="36"/>
        <v>0.36149608643104725</v>
      </c>
      <c r="I83" s="14">
        <f t="shared" si="36"/>
        <v>0.36366259743839663</v>
      </c>
      <c r="J83" s="14">
        <f t="shared" si="36"/>
        <v>0.46605128599623324</v>
      </c>
      <c r="K83" s="14">
        <f t="shared" si="36"/>
        <v>0.46500473250141106</v>
      </c>
      <c r="L83" s="14">
        <f t="shared" si="36"/>
        <v>0.380329379501605</v>
      </c>
      <c r="M83" s="14">
        <f t="shared" si="36"/>
        <v>0.50595486783014598</v>
      </c>
      <c r="N83" s="17">
        <f t="shared" si="35"/>
        <v>0.40948120740343441</v>
      </c>
      <c r="O83" s="24">
        <f t="shared" si="27"/>
        <v>0.31681551351579301</v>
      </c>
      <c r="P83" s="24">
        <f t="shared" si="28"/>
        <v>0.50595486783014598</v>
      </c>
    </row>
    <row r="84" spans="1:16" x14ac:dyDescent="0.25">
      <c r="A84" s="9"/>
      <c r="B84" s="5" t="s">
        <v>35</v>
      </c>
      <c r="C84" s="5" t="s">
        <v>22</v>
      </c>
      <c r="D84" s="21">
        <v>377730.13541678101</v>
      </c>
      <c r="E84" s="21">
        <v>373943.30584079301</v>
      </c>
      <c r="F84" s="21">
        <v>363735.77040175401</v>
      </c>
      <c r="G84" s="21">
        <v>378298.23175352102</v>
      </c>
      <c r="H84" s="21">
        <v>383378.88045585999</v>
      </c>
      <c r="I84" s="21">
        <v>386301.75632559601</v>
      </c>
      <c r="J84" s="21">
        <v>373644.38773944898</v>
      </c>
      <c r="K84" s="21">
        <v>382396.00782063103</v>
      </c>
      <c r="L84" s="21">
        <v>374833.66203078802</v>
      </c>
      <c r="M84" s="21">
        <v>381640.36200681102</v>
      </c>
      <c r="N84" s="23">
        <f t="shared" si="35"/>
        <v>377590.24997919839</v>
      </c>
      <c r="O84" s="24"/>
      <c r="P84" s="24"/>
    </row>
    <row r="85" spans="1:16" x14ac:dyDescent="0.25">
      <c r="A85" s="10"/>
      <c r="B85" s="7"/>
      <c r="C85" s="7" t="s">
        <v>16</v>
      </c>
      <c r="D85" s="15">
        <f>(D84-D81)/D81</f>
        <v>0.62210769079366202</v>
      </c>
      <c r="E85" s="15">
        <f t="shared" ref="E85:M85" si="37">(E84-E81)/E81</f>
        <v>0.62200038221358667</v>
      </c>
      <c r="F85" s="15">
        <f t="shared" si="37"/>
        <v>0.69683000379751536</v>
      </c>
      <c r="G85" s="15">
        <f t="shared" si="37"/>
        <v>0.72923764924686996</v>
      </c>
      <c r="H85" s="15">
        <f t="shared" si="37"/>
        <v>0.68878789792298889</v>
      </c>
      <c r="I85" s="15">
        <f t="shared" si="37"/>
        <v>0.75322758990573435</v>
      </c>
      <c r="J85" s="15">
        <f t="shared" si="37"/>
        <v>0.76280822979393537</v>
      </c>
      <c r="K85" s="15">
        <f t="shared" si="37"/>
        <v>0.73103429957735955</v>
      </c>
      <c r="L85" s="15">
        <f t="shared" si="37"/>
        <v>0.68988856816080857</v>
      </c>
      <c r="M85" s="15">
        <f t="shared" si="37"/>
        <v>0.81759744891429564</v>
      </c>
      <c r="N85" s="20">
        <f t="shared" si="35"/>
        <v>0.71135197603267564</v>
      </c>
      <c r="O85" s="24">
        <f t="shared" si="27"/>
        <v>0.62200038221358667</v>
      </c>
      <c r="P85" s="24">
        <f t="shared" si="28"/>
        <v>0.81759744891429564</v>
      </c>
    </row>
    <row r="87" spans="1:16" x14ac:dyDescent="0.25"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90" spans="1:16" x14ac:dyDescent="0.25">
      <c r="B90" s="30" t="s">
        <v>27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 spans="1:16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spans="1:16" x14ac:dyDescent="0.25">
      <c r="A92" s="8"/>
      <c r="B92" s="12"/>
      <c r="C92" s="12"/>
      <c r="D92" s="12">
        <v>0</v>
      </c>
      <c r="E92" s="12">
        <v>10</v>
      </c>
      <c r="F92" s="12">
        <v>20</v>
      </c>
      <c r="G92" s="12">
        <v>30</v>
      </c>
      <c r="H92" s="12">
        <v>40</v>
      </c>
      <c r="I92" s="12">
        <v>50</v>
      </c>
      <c r="J92" s="12">
        <v>60</v>
      </c>
      <c r="K92" s="12">
        <v>70</v>
      </c>
      <c r="L92" s="12">
        <v>80</v>
      </c>
      <c r="M92" s="12">
        <v>90</v>
      </c>
      <c r="N92" s="18" t="s">
        <v>21</v>
      </c>
    </row>
    <row r="93" spans="1:16" x14ac:dyDescent="0.25">
      <c r="A93" s="1" t="s">
        <v>52</v>
      </c>
      <c r="B93" s="5" t="s">
        <v>24</v>
      </c>
      <c r="C93" s="5" t="s">
        <v>22</v>
      </c>
      <c r="D93" s="23">
        <v>104668.141550966</v>
      </c>
      <c r="E93" s="23">
        <v>106320.596523413</v>
      </c>
      <c r="F93" s="23">
        <v>103463.826336133</v>
      </c>
      <c r="G93" s="23">
        <v>101178.271008478</v>
      </c>
      <c r="H93" s="23">
        <v>101276.133728941</v>
      </c>
      <c r="I93" s="23">
        <v>103960.15408049199</v>
      </c>
      <c r="J93" s="23">
        <v>98359.037866155006</v>
      </c>
      <c r="K93" s="23">
        <v>99005.602532446399</v>
      </c>
      <c r="L93" s="23">
        <v>94754.0816985196</v>
      </c>
      <c r="M93" s="23">
        <v>93438.955342960398</v>
      </c>
      <c r="N93" s="21">
        <f>AVERAGE(D93:M93)</f>
        <v>100642.48006685045</v>
      </c>
    </row>
    <row r="94" spans="1:16" x14ac:dyDescent="0.25">
      <c r="B94" s="5" t="s">
        <v>25</v>
      </c>
      <c r="C94" s="5" t="s">
        <v>22</v>
      </c>
      <c r="D94" s="21">
        <v>116534.171237872</v>
      </c>
      <c r="E94" s="21">
        <v>116825.037085729</v>
      </c>
      <c r="F94" s="21">
        <v>110472.621902723</v>
      </c>
      <c r="G94" s="21">
        <v>112103.027025469</v>
      </c>
      <c r="H94" s="21">
        <v>109935.33795606199</v>
      </c>
      <c r="I94" s="21">
        <v>107405.536904882</v>
      </c>
      <c r="J94" s="21">
        <v>106786.396915586</v>
      </c>
      <c r="K94" s="21">
        <v>103833.549294653</v>
      </c>
      <c r="L94" s="21">
        <v>104312.762939097</v>
      </c>
      <c r="M94" s="21">
        <v>101563.440082145</v>
      </c>
      <c r="N94" s="21">
        <f>AVERAGE(D94:M94)</f>
        <v>108977.18813442178</v>
      </c>
    </row>
    <row r="95" spans="1:16" x14ac:dyDescent="0.25">
      <c r="B95" s="5"/>
      <c r="C95" s="5" t="s">
        <v>16</v>
      </c>
      <c r="D95" s="14">
        <f t="shared" ref="D95:M95" si="38">(D94-D93)/D93</f>
        <v>0.1133681128858878</v>
      </c>
      <c r="E95" s="14">
        <f t="shared" si="38"/>
        <v>9.8799676692961386E-2</v>
      </c>
      <c r="F95" s="14">
        <f t="shared" si="38"/>
        <v>6.7741507489002359E-2</v>
      </c>
      <c r="G95" s="14">
        <f t="shared" si="38"/>
        <v>0.10797531829809175</v>
      </c>
      <c r="H95" s="14">
        <f t="shared" si="38"/>
        <v>8.5500935988500434E-2</v>
      </c>
      <c r="I95" s="14">
        <f t="shared" si="38"/>
        <v>3.3141378587438326E-2</v>
      </c>
      <c r="J95" s="14">
        <f t="shared" si="38"/>
        <v>8.5679559624187968E-2</v>
      </c>
      <c r="K95" s="14">
        <f t="shared" si="38"/>
        <v>4.8764379375645657E-2</v>
      </c>
      <c r="L95" s="14">
        <f t="shared" si="38"/>
        <v>0.10087883359991169</v>
      </c>
      <c r="M95" s="14">
        <f t="shared" si="38"/>
        <v>8.6949652951109208E-2</v>
      </c>
      <c r="N95" s="17">
        <f t="shared" ref="N95" si="39">AVERAGE(D95:M95)</f>
        <v>8.287993554927367E-2</v>
      </c>
    </row>
    <row r="96" spans="1:16" x14ac:dyDescent="0.25">
      <c r="A96" s="1" t="s">
        <v>53</v>
      </c>
      <c r="B96" s="5" t="s">
        <v>24</v>
      </c>
      <c r="C96" s="5" t="s">
        <v>22</v>
      </c>
      <c r="D96" s="21">
        <v>48634.745654251601</v>
      </c>
      <c r="E96" s="21">
        <v>48760.9653211767</v>
      </c>
      <c r="F96" s="21">
        <v>45757.400963815802</v>
      </c>
      <c r="G96" s="21">
        <v>45569.111132614598</v>
      </c>
      <c r="H96" s="21">
        <v>44244.618036047199</v>
      </c>
      <c r="I96" s="21">
        <v>46201.344330360502</v>
      </c>
      <c r="J96" s="21">
        <v>45293.182853468497</v>
      </c>
      <c r="K96" s="21">
        <v>44367.298333510502</v>
      </c>
      <c r="L96" s="21">
        <v>43898.109056536501</v>
      </c>
      <c r="M96" s="21">
        <v>43689.171789631298</v>
      </c>
      <c r="N96" s="21">
        <f>AVERAGE(D96:M96)</f>
        <v>45641.594747141324</v>
      </c>
    </row>
    <row r="97" spans="1:14" x14ac:dyDescent="0.25">
      <c r="B97" s="5" t="s">
        <v>25</v>
      </c>
      <c r="C97" s="5" t="s">
        <v>22</v>
      </c>
      <c r="D97" s="21">
        <v>119856.93208782699</v>
      </c>
      <c r="E97" s="21">
        <v>115129.81333710899</v>
      </c>
      <c r="F97" s="21">
        <v>114116.000845521</v>
      </c>
      <c r="G97" s="21">
        <v>113323.92082142799</v>
      </c>
      <c r="H97" s="21">
        <v>108564.832217517</v>
      </c>
      <c r="I97" s="21">
        <v>110980.758952128</v>
      </c>
      <c r="J97" s="21">
        <v>108737.616427735</v>
      </c>
      <c r="K97" s="21">
        <v>106899.899848595</v>
      </c>
      <c r="L97" s="21">
        <v>105586.768282579</v>
      </c>
      <c r="M97" s="21">
        <v>105014.30100165401</v>
      </c>
      <c r="N97" s="21">
        <f t="shared" ref="N97:N98" si="40">AVERAGE(D97:M97)</f>
        <v>110821.0843822093</v>
      </c>
    </row>
    <row r="98" spans="1:14" x14ac:dyDescent="0.25">
      <c r="A98" s="2"/>
      <c r="B98" s="7"/>
      <c r="C98" s="7" t="s">
        <v>16</v>
      </c>
      <c r="D98" s="15">
        <f t="shared" ref="D98:M98" si="41">(D97-D96)/D96</f>
        <v>1.4644301203896442</v>
      </c>
      <c r="E98" s="15">
        <f t="shared" si="41"/>
        <v>1.361106113851043</v>
      </c>
      <c r="F98" s="15">
        <f t="shared" si="41"/>
        <v>1.4939353731161884</v>
      </c>
      <c r="G98" s="15">
        <f t="shared" si="41"/>
        <v>1.4868582687872558</v>
      </c>
      <c r="H98" s="15">
        <f t="shared" si="41"/>
        <v>1.4537409754349448</v>
      </c>
      <c r="I98" s="15">
        <f t="shared" si="41"/>
        <v>1.4021110329293753</v>
      </c>
      <c r="J98" s="15">
        <f t="shared" si="41"/>
        <v>1.4007501698328539</v>
      </c>
      <c r="K98" s="15">
        <f t="shared" si="41"/>
        <v>1.4094300050687061</v>
      </c>
      <c r="L98" s="15">
        <f t="shared" si="41"/>
        <v>1.4052691688061891</v>
      </c>
      <c r="M98" s="15">
        <f t="shared" si="41"/>
        <v>1.4036688428727992</v>
      </c>
      <c r="N98" s="20">
        <f t="shared" si="40"/>
        <v>1.4281300071089</v>
      </c>
    </row>
    <row r="100" spans="1:14" x14ac:dyDescent="0.25">
      <c r="D100" s="16"/>
      <c r="E100" s="16"/>
      <c r="F100" s="16" t="s">
        <v>44</v>
      </c>
      <c r="G100" s="16" t="s">
        <v>45</v>
      </c>
      <c r="H100" s="16"/>
      <c r="I100" s="16"/>
      <c r="J100" s="16"/>
      <c r="K100" s="16"/>
      <c r="L100" s="16"/>
      <c r="M100" s="16"/>
      <c r="N100" s="16"/>
    </row>
    <row r="101" spans="1:14" x14ac:dyDescent="0.25">
      <c r="F101" s="1" t="s">
        <v>43</v>
      </c>
    </row>
    <row r="102" spans="1:14" x14ac:dyDescent="0.25">
      <c r="C102" s="11">
        <v>3151264.0864799502</v>
      </c>
      <c r="E102" s="11">
        <v>2762715.7514905799</v>
      </c>
      <c r="F102" s="11">
        <v>2446729.1828123098</v>
      </c>
      <c r="G102" s="11">
        <v>2817751.4219988398</v>
      </c>
    </row>
    <row r="103" spans="1:14" x14ac:dyDescent="0.25">
      <c r="C103" s="11">
        <v>2895606.9740369502</v>
      </c>
      <c r="E103" s="11">
        <v>2540618.86954168</v>
      </c>
      <c r="F103" s="11">
        <v>2844803.5458325902</v>
      </c>
      <c r="G103" s="11">
        <v>3125345.3424512199</v>
      </c>
    </row>
    <row r="104" spans="1:14" x14ac:dyDescent="0.25">
      <c r="C104" s="11">
        <v>4379346.70625747</v>
      </c>
      <c r="E104" s="11">
        <v>3867052.83858898</v>
      </c>
      <c r="F104" s="11">
        <v>3632197.4916682802</v>
      </c>
      <c r="G104" s="11">
        <v>4073532.13450045</v>
      </c>
    </row>
    <row r="106" spans="1:14" x14ac:dyDescent="0.25">
      <c r="F106" s="31" t="s">
        <v>50</v>
      </c>
      <c r="G106" s="31"/>
      <c r="H106" s="31"/>
      <c r="I106" s="31"/>
    </row>
    <row r="107" spans="1:14" x14ac:dyDescent="0.25">
      <c r="A107" s="18" t="s">
        <v>51</v>
      </c>
      <c r="B107" s="12"/>
      <c r="C107" s="12"/>
      <c r="D107" s="12">
        <v>0</v>
      </c>
      <c r="E107" s="12">
        <v>10</v>
      </c>
      <c r="F107" s="12">
        <v>20</v>
      </c>
      <c r="G107" s="12">
        <v>30</v>
      </c>
      <c r="H107" s="12">
        <v>40</v>
      </c>
      <c r="I107" s="12">
        <v>50</v>
      </c>
      <c r="J107" s="12">
        <v>60</v>
      </c>
      <c r="K107" s="12">
        <v>70</v>
      </c>
      <c r="L107" s="12">
        <v>80</v>
      </c>
      <c r="M107" s="12">
        <v>90</v>
      </c>
      <c r="N107" s="18" t="s">
        <v>21</v>
      </c>
    </row>
    <row r="108" spans="1:14" x14ac:dyDescent="0.25">
      <c r="A108" s="9" t="s">
        <v>49</v>
      </c>
      <c r="B108" s="5" t="s">
        <v>24</v>
      </c>
      <c r="C108" s="5" t="s">
        <v>22</v>
      </c>
      <c r="D108" s="23">
        <v>2884871.2933989898</v>
      </c>
      <c r="E108" s="23">
        <v>2844529.1241107499</v>
      </c>
      <c r="F108" s="23">
        <v>2851622.6637611599</v>
      </c>
      <c r="G108" s="23">
        <v>2848957.8330839002</v>
      </c>
      <c r="H108" s="23">
        <v>2814602.7531504701</v>
      </c>
      <c r="I108" s="23">
        <v>2779521.0675591798</v>
      </c>
      <c r="J108" s="23">
        <v>2841577.3195959199</v>
      </c>
      <c r="K108" s="23">
        <v>2753457.91207411</v>
      </c>
      <c r="L108" s="23">
        <v>2752833.6172104501</v>
      </c>
      <c r="M108" s="23">
        <v>2805540.6360434899</v>
      </c>
      <c r="N108" s="21">
        <f>AVERAGE(D108:M108)</f>
        <v>2817751.4219988426</v>
      </c>
    </row>
    <row r="109" spans="1:14" x14ac:dyDescent="0.25">
      <c r="A109" s="9"/>
      <c r="B109" s="5" t="s">
        <v>47</v>
      </c>
      <c r="C109" s="5" t="s">
        <v>22</v>
      </c>
      <c r="D109" s="23">
        <v>3147938.98864982</v>
      </c>
      <c r="E109" s="23">
        <v>3151886.85671166</v>
      </c>
      <c r="F109" s="23">
        <v>3143122.8043635199</v>
      </c>
      <c r="G109" s="23">
        <v>3117090.61987059</v>
      </c>
      <c r="H109" s="23">
        <v>3110487.37592994</v>
      </c>
      <c r="I109" s="23">
        <v>3121697.6736317901</v>
      </c>
      <c r="J109" s="23">
        <v>3114424.7722250801</v>
      </c>
      <c r="K109" s="23">
        <v>3120496.1322574099</v>
      </c>
      <c r="L109" s="23">
        <v>3120709.8930487302</v>
      </c>
      <c r="M109" s="23">
        <v>3105598.3078237702</v>
      </c>
      <c r="N109" s="21">
        <f>AVERAGE(D109:M109)</f>
        <v>3125345.3424512306</v>
      </c>
    </row>
    <row r="110" spans="1:14" x14ac:dyDescent="0.25">
      <c r="A110" s="9"/>
      <c r="B110" s="5"/>
      <c r="C110" s="5" t="s">
        <v>16</v>
      </c>
      <c r="D110" s="14">
        <f t="shared" ref="D110:M110" si="42">(D109-D108)/D108</f>
        <v>9.118871120967087E-2</v>
      </c>
      <c r="E110" s="14">
        <f t="shared" si="42"/>
        <v>0.10805223613134761</v>
      </c>
      <c r="F110" s="14">
        <f t="shared" si="42"/>
        <v>0.10222255009640184</v>
      </c>
      <c r="G110" s="14">
        <f t="shared" si="42"/>
        <v>9.4116095251731133E-2</v>
      </c>
      <c r="H110" s="14">
        <f t="shared" si="42"/>
        <v>0.10512482532331688</v>
      </c>
      <c r="I110" s="14">
        <f t="shared" si="42"/>
        <v>0.12310631859073859</v>
      </c>
      <c r="J110" s="14">
        <f t="shared" si="42"/>
        <v>9.6019717903702784E-2</v>
      </c>
      <c r="K110" s="14">
        <f t="shared" si="42"/>
        <v>0.13330082823267825</v>
      </c>
      <c r="L110" s="14">
        <f t="shared" si="42"/>
        <v>0.13363549236624878</v>
      </c>
      <c r="M110" s="14">
        <f t="shared" si="42"/>
        <v>0.1069518181007124</v>
      </c>
      <c r="N110" s="17">
        <f t="shared" ref="N110:N112" si="43">AVERAGE(D110:M110)</f>
        <v>0.10937185932065492</v>
      </c>
    </row>
    <row r="111" spans="1:14" x14ac:dyDescent="0.25">
      <c r="A111" s="9"/>
      <c r="B111" s="5" t="s">
        <v>35</v>
      </c>
      <c r="C111" s="5" t="s">
        <v>22</v>
      </c>
      <c r="D111" s="23">
        <v>4040165.4582981402</v>
      </c>
      <c r="E111" s="23">
        <v>4043436.4273790098</v>
      </c>
      <c r="F111" s="23">
        <v>4136170.0460445001</v>
      </c>
      <c r="G111" s="23">
        <v>4124112.5134093799</v>
      </c>
      <c r="H111" s="23">
        <v>4085776.5926694199</v>
      </c>
      <c r="I111" s="23">
        <v>4135238.0202941699</v>
      </c>
      <c r="J111" s="23">
        <v>4009381.5196941602</v>
      </c>
      <c r="K111" s="23">
        <v>3993130.45157335</v>
      </c>
      <c r="L111" s="23">
        <v>4077127.9325670102</v>
      </c>
      <c r="M111" s="23">
        <v>4090782.3830753998</v>
      </c>
      <c r="N111" s="21">
        <f t="shared" si="43"/>
        <v>4073532.1345004542</v>
      </c>
    </row>
    <row r="112" spans="1:14" x14ac:dyDescent="0.25">
      <c r="A112" s="9"/>
      <c r="B112" s="5"/>
      <c r="C112" s="7" t="s">
        <v>16</v>
      </c>
      <c r="D112" s="15">
        <f t="shared" ref="D112:M112" si="44">(D111-D108)/D108</f>
        <v>0.4004664497659336</v>
      </c>
      <c r="E112" s="15">
        <f t="shared" si="44"/>
        <v>0.42147830131395103</v>
      </c>
      <c r="F112" s="15">
        <f t="shared" si="44"/>
        <v>0.45046190669177844</v>
      </c>
      <c r="G112" s="15">
        <f t="shared" si="44"/>
        <v>0.44758636492178899</v>
      </c>
      <c r="H112" s="15">
        <f t="shared" si="44"/>
        <v>0.45163525762066653</v>
      </c>
      <c r="I112" s="15">
        <f t="shared" si="44"/>
        <v>0.48775199747829395</v>
      </c>
      <c r="J112" s="20">
        <f t="shared" si="44"/>
        <v>0.41097041141372331</v>
      </c>
      <c r="K112" s="15">
        <f t="shared" si="44"/>
        <v>0.45022389267807117</v>
      </c>
      <c r="L112" s="15">
        <f t="shared" si="44"/>
        <v>0.48106587593133121</v>
      </c>
      <c r="M112" s="15">
        <f t="shared" si="44"/>
        <v>0.458108405388995</v>
      </c>
      <c r="N112" s="20">
        <f t="shared" si="43"/>
        <v>0.44597488632045329</v>
      </c>
    </row>
    <row r="113" spans="1:14" x14ac:dyDescent="0.25">
      <c r="A113" s="9" t="s">
        <v>46</v>
      </c>
      <c r="B113" s="5" t="s">
        <v>24</v>
      </c>
      <c r="C113" s="5" t="s">
        <v>22</v>
      </c>
      <c r="D113" s="21">
        <v>2674780.6167131499</v>
      </c>
      <c r="E113" s="21">
        <v>2672152.9688099702</v>
      </c>
      <c r="F113" s="21">
        <v>2663694.2784704599</v>
      </c>
      <c r="G113" s="21">
        <v>2609401.2113216901</v>
      </c>
      <c r="H113" s="21">
        <v>2631766.5417964901</v>
      </c>
      <c r="I113" s="21">
        <v>2668465.3883984401</v>
      </c>
      <c r="J113" s="21">
        <v>2685705.2397493501</v>
      </c>
      <c r="K113" s="21">
        <v>2661950.70479347</v>
      </c>
      <c r="L113" s="21">
        <v>2630591.9215894798</v>
      </c>
      <c r="M113" s="21">
        <v>2665542.5308375298</v>
      </c>
      <c r="N113" s="21">
        <f>AVERAGE(D113:M113)</f>
        <v>2656405.140248003</v>
      </c>
    </row>
    <row r="114" spans="1:14" x14ac:dyDescent="0.25">
      <c r="A114" s="9"/>
      <c r="B114" s="5" t="s">
        <v>47</v>
      </c>
      <c r="C114" s="5" t="s">
        <v>22</v>
      </c>
      <c r="D114" s="21">
        <v>2871563.94801762</v>
      </c>
      <c r="E114" s="21">
        <v>2871911.4649044098</v>
      </c>
      <c r="F114" s="21">
        <v>2917171.92703029</v>
      </c>
      <c r="G114" s="21">
        <v>2808229.8826164901</v>
      </c>
      <c r="H114" s="21">
        <v>2815412.4393163798</v>
      </c>
      <c r="I114" s="21">
        <v>2868381.51492</v>
      </c>
      <c r="J114" s="21">
        <v>2847432.0626430898</v>
      </c>
      <c r="K114" s="21">
        <v>2835044.2952896398</v>
      </c>
      <c r="L114" s="21">
        <v>2821208.1619651401</v>
      </c>
      <c r="M114" s="21">
        <v>2791679.7616228699</v>
      </c>
      <c r="N114" s="21">
        <f t="shared" ref="N114:N117" si="45">AVERAGE(D114:M114)</f>
        <v>2844803.5458325925</v>
      </c>
    </row>
    <row r="115" spans="1:14" x14ac:dyDescent="0.25">
      <c r="A115" s="9"/>
      <c r="B115" s="5"/>
      <c r="C115" s="5" t="s">
        <v>16</v>
      </c>
      <c r="D115" s="14">
        <f>(D114-D113)/D113</f>
        <v>7.356989581683275E-2</v>
      </c>
      <c r="E115" s="14">
        <f t="shared" ref="E115:M115" si="46">(E114-E113)/E113</f>
        <v>7.4755636532066155E-2</v>
      </c>
      <c r="F115" s="14">
        <f t="shared" si="46"/>
        <v>9.5160188092374282E-2</v>
      </c>
      <c r="G115" s="14">
        <f t="shared" si="46"/>
        <v>7.6197048745175952E-2</v>
      </c>
      <c r="H115" s="14">
        <f t="shared" si="46"/>
        <v>6.9780466695396864E-2</v>
      </c>
      <c r="I115" s="14">
        <f t="shared" si="46"/>
        <v>7.4918013698332273E-2</v>
      </c>
      <c r="J115" s="14">
        <f t="shared" si="46"/>
        <v>6.0217636879925519E-2</v>
      </c>
      <c r="K115" s="14">
        <f t="shared" si="46"/>
        <v>6.5025092382242106E-2</v>
      </c>
      <c r="L115" s="14">
        <f t="shared" si="46"/>
        <v>7.2461349406290468E-2</v>
      </c>
      <c r="M115" s="14">
        <f t="shared" si="46"/>
        <v>4.7321409929147511E-2</v>
      </c>
      <c r="N115" s="17">
        <f t="shared" si="45"/>
        <v>7.0940673817778382E-2</v>
      </c>
    </row>
    <row r="116" spans="1:14" x14ac:dyDescent="0.25">
      <c r="A116" s="9"/>
      <c r="B116" s="5" t="s">
        <v>35</v>
      </c>
      <c r="C116" s="5" t="s">
        <v>22</v>
      </c>
      <c r="D116" s="23">
        <v>3611905.7183635002</v>
      </c>
      <c r="E116" s="23">
        <v>3686910.5038389098</v>
      </c>
      <c r="F116" s="23">
        <v>3597393.76792996</v>
      </c>
      <c r="G116" s="23">
        <v>3610652.4702059901</v>
      </c>
      <c r="H116" s="23">
        <v>3671063.6025044401</v>
      </c>
      <c r="I116" s="23">
        <v>3602161.8468565098</v>
      </c>
      <c r="J116" s="23">
        <v>3636028.9600324002</v>
      </c>
      <c r="K116" s="23">
        <v>3664229.4704998299</v>
      </c>
      <c r="L116" s="23">
        <v>3619580.0340310498</v>
      </c>
      <c r="M116" s="23">
        <v>3622048.5424202401</v>
      </c>
      <c r="N116" s="21">
        <f t="shared" si="45"/>
        <v>3632197.4916682825</v>
      </c>
    </row>
    <row r="117" spans="1:14" x14ac:dyDescent="0.25">
      <c r="A117" s="10"/>
      <c r="B117" s="7"/>
      <c r="C117" s="7" t="s">
        <v>16</v>
      </c>
      <c r="D117" s="15">
        <f>(D116-D113)/D113</f>
        <v>0.35035587434528276</v>
      </c>
      <c r="E117" s="15">
        <f t="shared" ref="E117:M117" si="47">(E116-E113)/E113</f>
        <v>0.37975278618905439</v>
      </c>
      <c r="F117" s="15">
        <f t="shared" si="47"/>
        <v>0.3505280230566275</v>
      </c>
      <c r="G117" s="15">
        <f t="shared" si="47"/>
        <v>0.38370920291600363</v>
      </c>
      <c r="H117" s="15">
        <f t="shared" si="47"/>
        <v>0.39490473193663583</v>
      </c>
      <c r="I117" s="15">
        <f t="shared" si="47"/>
        <v>0.34990015704061866</v>
      </c>
      <c r="J117" s="15">
        <f t="shared" si="47"/>
        <v>0.3538451302167997</v>
      </c>
      <c r="K117" s="15">
        <f t="shared" si="47"/>
        <v>0.37652040809828696</v>
      </c>
      <c r="L117" s="15">
        <f t="shared" si="47"/>
        <v>0.3759564926527999</v>
      </c>
      <c r="M117" s="15">
        <f t="shared" si="47"/>
        <v>0.35884102411308</v>
      </c>
      <c r="N117" s="20">
        <f t="shared" si="45"/>
        <v>0.3674313830565189</v>
      </c>
    </row>
  </sheetData>
  <mergeCells count="11">
    <mergeCell ref="B90:N91"/>
    <mergeCell ref="F106:I106"/>
    <mergeCell ref="B9:M9"/>
    <mergeCell ref="J58:O58"/>
    <mergeCell ref="P58:U58"/>
    <mergeCell ref="J59:K59"/>
    <mergeCell ref="L59:M59"/>
    <mergeCell ref="N59:O59"/>
    <mergeCell ref="P59:Q59"/>
    <mergeCell ref="R59:S59"/>
    <mergeCell ref="T59:U5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121"/>
  <sheetViews>
    <sheetView topLeftCell="A16" zoomScale="85" zoomScaleNormal="85" workbookViewId="0">
      <selection activeCell="H4" sqref="H4"/>
    </sheetView>
  </sheetViews>
  <sheetFormatPr defaultRowHeight="13.8" x14ac:dyDescent="0.25"/>
  <cols>
    <col min="1" max="1" width="21.21875" style="1" customWidth="1"/>
    <col min="2" max="2" width="8.88671875" style="1"/>
    <col min="3" max="3" width="10" style="1" bestFit="1" customWidth="1"/>
    <col min="4" max="12" width="14.77734375" style="1" bestFit="1" customWidth="1"/>
    <col min="13" max="13" width="10.5546875" style="1" customWidth="1"/>
    <col min="14" max="14" width="16.109375" style="9" customWidth="1"/>
    <col min="15" max="15" width="9.77734375" style="1" customWidth="1"/>
    <col min="16" max="16" width="11.6640625" style="1" customWidth="1"/>
    <col min="17" max="17" width="8.88671875" style="1"/>
    <col min="18" max="18" width="10" style="1" bestFit="1" customWidth="1"/>
    <col min="19" max="16384" width="8.88671875" style="1"/>
  </cols>
  <sheetData>
    <row r="3" spans="1:15" x14ac:dyDescent="0.25">
      <c r="C3" s="1" t="s">
        <v>0</v>
      </c>
      <c r="D3" s="1" t="s">
        <v>1</v>
      </c>
      <c r="E3" s="1" t="s">
        <v>2</v>
      </c>
      <c r="F3" s="1" t="s">
        <v>9</v>
      </c>
      <c r="G3" s="1" t="s">
        <v>7</v>
      </c>
      <c r="H3" s="1" t="s">
        <v>8</v>
      </c>
      <c r="J3" s="1" t="s">
        <v>18</v>
      </c>
    </row>
    <row r="4" spans="1:15" x14ac:dyDescent="0.25">
      <c r="B4" s="1" t="s">
        <v>3</v>
      </c>
      <c r="C4" s="1">
        <v>108977.188134422</v>
      </c>
      <c r="D4" s="1">
        <v>82016.170898487093</v>
      </c>
      <c r="E4" s="1">
        <v>78385.781891468301</v>
      </c>
      <c r="F4" s="1">
        <v>75455.351945002607</v>
      </c>
      <c r="G4" s="1">
        <v>150976.56711497699</v>
      </c>
      <c r="H4" s="1">
        <v>160003.42694422201</v>
      </c>
      <c r="I4" s="1">
        <v>71362.1975196774</v>
      </c>
      <c r="J4" s="11">
        <v>81684.735060523803</v>
      </c>
    </row>
    <row r="5" spans="1:15" x14ac:dyDescent="0.25">
      <c r="B5" s="1" t="s">
        <v>4</v>
      </c>
      <c r="C5" s="1">
        <v>128031.688260971</v>
      </c>
      <c r="D5" s="1">
        <v>163860.52478341799</v>
      </c>
      <c r="E5" s="1">
        <v>149300.79690809301</v>
      </c>
      <c r="F5" s="1">
        <v>164063.55575043699</v>
      </c>
      <c r="G5" s="1">
        <v>206135.35145617899</v>
      </c>
      <c r="H5" s="1">
        <v>193398.49586776501</v>
      </c>
      <c r="I5" s="1">
        <v>102931.778270422</v>
      </c>
      <c r="J5" s="11">
        <v>134492.68410363601</v>
      </c>
    </row>
    <row r="6" spans="1:15" x14ac:dyDescent="0.25">
      <c r="B6" s="1" t="s">
        <v>5</v>
      </c>
      <c r="C6" s="1">
        <v>227399.03713330999</v>
      </c>
      <c r="D6" s="1">
        <v>240816.91217087099</v>
      </c>
      <c r="E6" s="1">
        <v>172966.27707168501</v>
      </c>
      <c r="F6" s="1">
        <v>201260.238833757</v>
      </c>
      <c r="G6" s="1">
        <v>289839.26390338602</v>
      </c>
      <c r="H6" s="1">
        <v>305006.001866918</v>
      </c>
      <c r="I6" s="1">
        <v>163206.11415293001</v>
      </c>
      <c r="J6" s="11">
        <v>225969.11411557699</v>
      </c>
      <c r="K6" s="1">
        <v>157257.37272138201</v>
      </c>
      <c r="L6" s="1">
        <v>205070.94577063801</v>
      </c>
    </row>
    <row r="7" spans="1:15" x14ac:dyDescent="0.25">
      <c r="B7" s="1" t="s">
        <v>6</v>
      </c>
      <c r="C7" s="1">
        <v>315427.61674523802</v>
      </c>
      <c r="D7" s="1">
        <v>331895.68315992202</v>
      </c>
      <c r="E7" s="1">
        <v>348311.83914877899</v>
      </c>
      <c r="F7" s="1">
        <v>363824.33457140601</v>
      </c>
      <c r="G7" s="1">
        <v>445757.64690735302</v>
      </c>
      <c r="H7" s="1">
        <v>476866.20916636899</v>
      </c>
      <c r="I7" s="1">
        <v>280307.104197993</v>
      </c>
      <c r="J7" s="11">
        <v>349916.86559799802</v>
      </c>
      <c r="K7" s="1">
        <v>398700.564703029</v>
      </c>
      <c r="L7" s="1">
        <v>354516.84364667302</v>
      </c>
    </row>
    <row r="9" spans="1:15" x14ac:dyDescent="0.25">
      <c r="B9" s="31" t="s">
        <v>17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5" x14ac:dyDescent="0.25">
      <c r="A10" s="18"/>
      <c r="B10" s="12"/>
      <c r="C10" s="12"/>
      <c r="D10" s="12">
        <v>0</v>
      </c>
      <c r="E10" s="12">
        <v>10</v>
      </c>
      <c r="F10" s="12">
        <v>20</v>
      </c>
      <c r="G10" s="12">
        <v>30</v>
      </c>
      <c r="H10" s="12">
        <v>40</v>
      </c>
      <c r="I10" s="12">
        <v>50</v>
      </c>
      <c r="J10" s="12">
        <v>60</v>
      </c>
      <c r="K10" s="12">
        <v>70</v>
      </c>
      <c r="L10" s="12">
        <v>80</v>
      </c>
      <c r="M10" s="12">
        <v>90</v>
      </c>
      <c r="N10" s="18" t="s">
        <v>21</v>
      </c>
      <c r="O10" s="19"/>
    </row>
    <row r="11" spans="1:15" x14ac:dyDescent="0.25">
      <c r="A11" s="9" t="s">
        <v>28</v>
      </c>
      <c r="B11" s="5" t="s">
        <v>24</v>
      </c>
      <c r="C11" s="5" t="s">
        <v>22</v>
      </c>
      <c r="D11" s="23">
        <v>85290.925036580098</v>
      </c>
      <c r="E11" s="23">
        <v>82830.376777578596</v>
      </c>
      <c r="F11" s="23">
        <v>83391.564576464007</v>
      </c>
      <c r="G11" s="23">
        <v>81152.975616986107</v>
      </c>
      <c r="H11" s="23">
        <v>80189.928040129802</v>
      </c>
      <c r="I11" s="23">
        <v>78187.377734554699</v>
      </c>
      <c r="J11" s="23">
        <v>76324.069328258207</v>
      </c>
      <c r="K11" s="23">
        <v>72973.322389581197</v>
      </c>
      <c r="L11" s="23">
        <v>72039.090986281299</v>
      </c>
      <c r="M11" s="23">
        <v>71478.188428269394</v>
      </c>
      <c r="N11" s="21">
        <f>AVERAGE(D11:M11)</f>
        <v>78385.78189146833</v>
      </c>
      <c r="O11" s="19"/>
    </row>
    <row r="12" spans="1:15" x14ac:dyDescent="0.25">
      <c r="A12" s="9"/>
      <c r="B12" s="5" t="s">
        <v>34</v>
      </c>
      <c r="C12" s="5" t="s">
        <v>22</v>
      </c>
      <c r="D12" s="21">
        <v>159305.419693017</v>
      </c>
      <c r="E12" s="21">
        <v>155997.96194283399</v>
      </c>
      <c r="F12" s="21">
        <v>154734.04226427601</v>
      </c>
      <c r="G12" s="21">
        <v>152944.45303679199</v>
      </c>
      <c r="H12" s="21">
        <v>151611.74967976101</v>
      </c>
      <c r="I12" s="21">
        <v>150031.09163328601</v>
      </c>
      <c r="J12" s="21">
        <v>150821.59719151299</v>
      </c>
      <c r="K12" s="21">
        <v>146794.99256308901</v>
      </c>
      <c r="L12" s="21">
        <v>146653.60293840701</v>
      </c>
      <c r="M12" s="21">
        <v>144738.96202196099</v>
      </c>
      <c r="N12" s="21">
        <f t="shared" ref="N12:N15" si="0">AVERAGE(D12:M12)</f>
        <v>151363.38729649357</v>
      </c>
      <c r="O12" s="19"/>
    </row>
    <row r="13" spans="1:15" x14ac:dyDescent="0.25">
      <c r="A13" s="9"/>
      <c r="B13" s="5"/>
      <c r="C13" s="5" t="s">
        <v>16</v>
      </c>
      <c r="D13" s="14">
        <f t="shared" ref="D13:M13" si="1">(D12-D11)/D11</f>
        <v>0.86778862610169971</v>
      </c>
      <c r="E13" s="14">
        <f t="shared" si="1"/>
        <v>0.88334241629408083</v>
      </c>
      <c r="F13" s="14">
        <f t="shared" si="1"/>
        <v>0.85551192198098325</v>
      </c>
      <c r="G13" s="14">
        <f t="shared" si="1"/>
        <v>0.88464380848629331</v>
      </c>
      <c r="H13" s="14">
        <f t="shared" si="1"/>
        <v>0.89065825827763889</v>
      </c>
      <c r="I13" s="14">
        <f t="shared" si="1"/>
        <v>0.91886588322017837</v>
      </c>
      <c r="J13" s="14">
        <f t="shared" si="1"/>
        <v>0.97606860481786228</v>
      </c>
      <c r="K13" s="14">
        <f t="shared" si="1"/>
        <v>1.0116254510024576</v>
      </c>
      <c r="L13" s="14">
        <f t="shared" si="1"/>
        <v>1.0357503256993466</v>
      </c>
      <c r="M13" s="14">
        <f t="shared" si="1"/>
        <v>1.02493886883005</v>
      </c>
      <c r="N13" s="17">
        <f t="shared" si="0"/>
        <v>0.93491941647105903</v>
      </c>
      <c r="O13" s="19"/>
    </row>
    <row r="14" spans="1:15" x14ac:dyDescent="0.25">
      <c r="A14" s="9"/>
      <c r="B14" s="5" t="s">
        <v>35</v>
      </c>
      <c r="C14" s="5" t="s">
        <v>22</v>
      </c>
      <c r="D14" s="21">
        <v>165037.32998497199</v>
      </c>
      <c r="E14" s="21">
        <v>164830.21364796301</v>
      </c>
      <c r="F14" s="21">
        <v>162936.21221015599</v>
      </c>
      <c r="G14" s="21">
        <v>161337.14528272001</v>
      </c>
      <c r="H14" s="21">
        <v>163453.00161952499</v>
      </c>
      <c r="I14" s="21">
        <v>160516.013809225</v>
      </c>
      <c r="J14" s="21">
        <v>157305.73546527501</v>
      </c>
      <c r="K14" s="21">
        <v>156110.82399270101</v>
      </c>
      <c r="L14" s="21">
        <v>153938.61722406701</v>
      </c>
      <c r="M14" s="21">
        <v>152092.30674576701</v>
      </c>
      <c r="N14" s="21">
        <f t="shared" si="0"/>
        <v>159755.73999823708</v>
      </c>
      <c r="O14" s="19"/>
    </row>
    <row r="15" spans="1:15" x14ac:dyDescent="0.25">
      <c r="A15" s="9"/>
      <c r="B15" s="5"/>
      <c r="C15" s="7" t="s">
        <v>16</v>
      </c>
      <c r="D15" s="15">
        <f t="shared" ref="D15:M15" si="2">(D14-D11)/D11</f>
        <v>0.93499284846763897</v>
      </c>
      <c r="E15" s="15">
        <f t="shared" si="2"/>
        <v>0.98997300338951255</v>
      </c>
      <c r="F15" s="15">
        <f t="shared" si="2"/>
        <v>0.95386923171054461</v>
      </c>
      <c r="G15" s="15">
        <f t="shared" si="2"/>
        <v>0.9880619787027326</v>
      </c>
      <c r="H15" s="15">
        <f t="shared" si="2"/>
        <v>1.0383233357900943</v>
      </c>
      <c r="I15" s="15">
        <f t="shared" si="2"/>
        <v>1.0529658169912683</v>
      </c>
      <c r="J15" s="15">
        <f t="shared" si="2"/>
        <v>1.0610239581006482</v>
      </c>
      <c r="K15" s="15">
        <f t="shared" si="2"/>
        <v>1.1392862333891738</v>
      </c>
      <c r="L15" s="15">
        <f t="shared" si="2"/>
        <v>1.1368761753723708</v>
      </c>
      <c r="M15" s="15">
        <f t="shared" si="2"/>
        <v>1.1278142338259791</v>
      </c>
      <c r="N15" s="20">
        <f t="shared" si="0"/>
        <v>1.0423186815739964</v>
      </c>
      <c r="O15" s="19"/>
    </row>
    <row r="16" spans="1:15" x14ac:dyDescent="0.25">
      <c r="A16" s="9" t="s">
        <v>29</v>
      </c>
      <c r="B16" s="5" t="s">
        <v>24</v>
      </c>
      <c r="C16" s="5" t="s">
        <v>22</v>
      </c>
      <c r="D16" s="23">
        <v>155314.35929348099</v>
      </c>
      <c r="E16" s="23">
        <v>154737.783169615</v>
      </c>
      <c r="F16" s="23">
        <v>153626.163333768</v>
      </c>
      <c r="G16" s="23">
        <v>151796.99370763</v>
      </c>
      <c r="H16" s="23">
        <v>151642.13605846401</v>
      </c>
      <c r="I16" s="23">
        <v>147756.56263757101</v>
      </c>
      <c r="J16" s="23">
        <v>146166.640717587</v>
      </c>
      <c r="K16" s="23">
        <v>144986.531532575</v>
      </c>
      <c r="L16" s="23">
        <v>144497.63988857699</v>
      </c>
      <c r="M16" s="23">
        <v>142483.15874166001</v>
      </c>
      <c r="N16" s="21">
        <f>AVERAGE(D16:M16)</f>
        <v>149300.79690809277</v>
      </c>
      <c r="O16" s="19"/>
    </row>
    <row r="17" spans="1:15" x14ac:dyDescent="0.25">
      <c r="A17" s="9"/>
      <c r="B17" s="5" t="s">
        <v>34</v>
      </c>
      <c r="C17" s="5" t="s">
        <v>22</v>
      </c>
      <c r="D17" s="21">
        <v>200772.090744752</v>
      </c>
      <c r="E17" s="21">
        <v>200295.37809419</v>
      </c>
      <c r="F17" s="21">
        <v>194774.01328960399</v>
      </c>
      <c r="G17" s="21">
        <v>193977.804400027</v>
      </c>
      <c r="H17" s="21">
        <v>196848.08930947701</v>
      </c>
      <c r="I17" s="21">
        <v>190687.41786175899</v>
      </c>
      <c r="J17" s="21">
        <v>190832.103881502</v>
      </c>
      <c r="K17" s="21">
        <v>191438.859711784</v>
      </c>
      <c r="L17" s="21">
        <v>188135.237097773</v>
      </c>
      <c r="M17" s="21">
        <v>186786.72961416701</v>
      </c>
      <c r="N17" s="21">
        <f t="shared" ref="N17:N20" si="3">AVERAGE(D17:M17)</f>
        <v>193454.77240050351</v>
      </c>
      <c r="O17" s="19"/>
    </row>
    <row r="18" spans="1:15" x14ac:dyDescent="0.25">
      <c r="A18" s="9"/>
      <c r="B18" s="5"/>
      <c r="C18" s="5" t="s">
        <v>16</v>
      </c>
      <c r="D18" s="14">
        <f>(D17-D16)/D16</f>
        <v>0.29268209107037158</v>
      </c>
      <c r="E18" s="14">
        <f t="shared" ref="E18:M18" si="4">(E17-E16)/E16</f>
        <v>0.29441804058054322</v>
      </c>
      <c r="F18" s="14">
        <f t="shared" si="4"/>
        <v>0.26784402515109507</v>
      </c>
      <c r="G18" s="14">
        <f t="shared" si="4"/>
        <v>0.2778764563258726</v>
      </c>
      <c r="H18" s="14">
        <f t="shared" si="4"/>
        <v>0.2981094465299825</v>
      </c>
      <c r="I18" s="14">
        <f t="shared" si="4"/>
        <v>0.29055125848786956</v>
      </c>
      <c r="J18" s="14">
        <f t="shared" si="4"/>
        <v>0.3055790496698525</v>
      </c>
      <c r="K18" s="14">
        <f t="shared" si="4"/>
        <v>0.32039064379419457</v>
      </c>
      <c r="L18" s="14">
        <f t="shared" si="4"/>
        <v>0.30199522457837535</v>
      </c>
      <c r="M18" s="14">
        <f t="shared" si="4"/>
        <v>0.31093899983530671</v>
      </c>
      <c r="N18" s="17">
        <f t="shared" si="3"/>
        <v>0.29603852360234634</v>
      </c>
      <c r="O18" s="19"/>
    </row>
    <row r="19" spans="1:15" x14ac:dyDescent="0.25">
      <c r="A19" s="9"/>
      <c r="B19" s="5" t="s">
        <v>35</v>
      </c>
      <c r="C19" s="5" t="s">
        <v>22</v>
      </c>
      <c r="D19" s="21">
        <v>211653.61200995301</v>
      </c>
      <c r="E19" s="21">
        <v>210135.52093418301</v>
      </c>
      <c r="F19" s="21">
        <v>207129.911862762</v>
      </c>
      <c r="G19" s="21">
        <v>206216.13032919</v>
      </c>
      <c r="H19" s="21">
        <v>206702.80001226699</v>
      </c>
      <c r="I19" s="21">
        <v>205755.37778809</v>
      </c>
      <c r="J19" s="21">
        <v>202390.893671392</v>
      </c>
      <c r="K19" s="21">
        <v>202890.332971992</v>
      </c>
      <c r="L19" s="21">
        <v>201320.35185287101</v>
      </c>
      <c r="M19" s="21">
        <v>199809.641099728</v>
      </c>
      <c r="N19" s="21">
        <f t="shared" si="3"/>
        <v>205400.45725324278</v>
      </c>
      <c r="O19" s="19"/>
    </row>
    <row r="20" spans="1:15" x14ac:dyDescent="0.25">
      <c r="A20" s="9"/>
      <c r="B20" s="5"/>
      <c r="C20" s="7" t="s">
        <v>16</v>
      </c>
      <c r="D20" s="15">
        <f>(D19-D16)/D16</f>
        <v>0.36274336109524646</v>
      </c>
      <c r="E20" s="15">
        <f t="shared" ref="E20:M20" si="5">(E19-E16)/E16</f>
        <v>0.35801041368056874</v>
      </c>
      <c r="F20" s="15">
        <f t="shared" si="5"/>
        <v>0.34827237345472095</v>
      </c>
      <c r="G20" s="15">
        <f t="shared" si="5"/>
        <v>0.35849943593991379</v>
      </c>
      <c r="H20" s="15">
        <f t="shared" si="5"/>
        <v>0.36309607200847482</v>
      </c>
      <c r="I20" s="15">
        <f t="shared" si="5"/>
        <v>0.39252953720088274</v>
      </c>
      <c r="J20" s="15">
        <f t="shared" si="5"/>
        <v>0.3846585833660745</v>
      </c>
      <c r="K20" s="15">
        <f t="shared" si="5"/>
        <v>0.39937365786564394</v>
      </c>
      <c r="L20" s="15">
        <f t="shared" si="5"/>
        <v>0.39324318382023654</v>
      </c>
      <c r="M20" s="15">
        <f t="shared" si="5"/>
        <v>0.40233865436692179</v>
      </c>
      <c r="N20" s="20">
        <f t="shared" si="3"/>
        <v>0.37627652727986843</v>
      </c>
    </row>
    <row r="21" spans="1:15" x14ac:dyDescent="0.25">
      <c r="A21" s="9" t="s">
        <v>30</v>
      </c>
      <c r="B21" s="5" t="s">
        <v>24</v>
      </c>
      <c r="C21" s="5" t="s">
        <v>22</v>
      </c>
      <c r="D21" s="23">
        <v>180841.01248928599</v>
      </c>
      <c r="E21" s="23">
        <v>178175.829732418</v>
      </c>
      <c r="F21" s="23">
        <v>175656.90881851001</v>
      </c>
      <c r="G21" s="23">
        <v>175036.783892262</v>
      </c>
      <c r="H21" s="23">
        <v>174517.130570209</v>
      </c>
      <c r="I21" s="23">
        <v>174210.31562913099</v>
      </c>
      <c r="J21" s="23">
        <v>171697.193734575</v>
      </c>
      <c r="K21" s="23">
        <v>167743.86641916999</v>
      </c>
      <c r="L21" s="23">
        <v>166938.093252583</v>
      </c>
      <c r="M21" s="23">
        <v>164845.63617870299</v>
      </c>
      <c r="N21" s="21">
        <f>AVERAGE(D21:M21)</f>
        <v>172966.27707168472</v>
      </c>
    </row>
    <row r="22" spans="1:15" x14ac:dyDescent="0.25">
      <c r="A22" s="9"/>
      <c r="B22" s="5" t="s">
        <v>34</v>
      </c>
      <c r="C22" s="5" t="s">
        <v>22</v>
      </c>
      <c r="D22" s="21">
        <v>313897.039364592</v>
      </c>
      <c r="E22" s="21">
        <v>311989.31493976898</v>
      </c>
      <c r="F22" s="21">
        <v>310372.73790852999</v>
      </c>
      <c r="G22" s="21">
        <v>309131.21003256203</v>
      </c>
      <c r="H22" s="21">
        <v>301614.77234411601</v>
      </c>
      <c r="I22" s="21">
        <v>305517.54909048701</v>
      </c>
      <c r="J22" s="21">
        <v>303464.70505503501</v>
      </c>
      <c r="K22" s="21">
        <v>301377.85781398398</v>
      </c>
      <c r="L22" s="21">
        <v>298662.55841299798</v>
      </c>
      <c r="M22" s="21">
        <v>300899.65485107503</v>
      </c>
      <c r="N22" s="21">
        <f t="shared" ref="N22:N25" si="6">AVERAGE(D22:M22)</f>
        <v>305692.73998131481</v>
      </c>
    </row>
    <row r="23" spans="1:15" x14ac:dyDescent="0.25">
      <c r="A23" s="9"/>
      <c r="B23" s="5"/>
      <c r="C23" s="5" t="s">
        <v>16</v>
      </c>
      <c r="D23" s="14">
        <f>(D22-D21)/D21</f>
        <v>0.73576245257523631</v>
      </c>
      <c r="E23" s="14">
        <f t="shared" ref="E23:M23" si="7">(E22-E21)/E21</f>
        <v>0.75101929037350479</v>
      </c>
      <c r="F23" s="14">
        <f t="shared" si="7"/>
        <v>0.76692587838494497</v>
      </c>
      <c r="G23" s="14">
        <f t="shared" si="7"/>
        <v>0.76609283579408849</v>
      </c>
      <c r="H23" s="14">
        <f t="shared" si="7"/>
        <v>0.72828175296393072</v>
      </c>
      <c r="I23" s="14">
        <f t="shared" si="7"/>
        <v>0.75372823352717222</v>
      </c>
      <c r="J23" s="14">
        <f t="shared" si="7"/>
        <v>0.76744126362460008</v>
      </c>
      <c r="K23" s="14">
        <f t="shared" si="7"/>
        <v>0.79665500889838869</v>
      </c>
      <c r="L23" s="14">
        <f t="shared" si="7"/>
        <v>0.78906175692992608</v>
      </c>
      <c r="M23" s="14">
        <f t="shared" si="7"/>
        <v>0.82534194914860204</v>
      </c>
      <c r="N23" s="17">
        <f t="shared" si="6"/>
        <v>0.76803104222203955</v>
      </c>
    </row>
    <row r="24" spans="1:15" x14ac:dyDescent="0.25">
      <c r="A24" s="9"/>
      <c r="B24" s="5" t="s">
        <v>35</v>
      </c>
      <c r="C24" s="5" t="s">
        <v>22</v>
      </c>
      <c r="D24" s="21">
        <v>296463.200890015</v>
      </c>
      <c r="E24" s="21">
        <v>298712.17307528201</v>
      </c>
      <c r="F24" s="21">
        <v>294654.28340133303</v>
      </c>
      <c r="G24" s="21">
        <v>300670.4471392</v>
      </c>
      <c r="H24" s="21">
        <v>292933.481606399</v>
      </c>
      <c r="I24" s="21">
        <v>289832.750334754</v>
      </c>
      <c r="J24" s="21">
        <v>284452.20517524</v>
      </c>
      <c r="K24" s="21">
        <v>286711.41693004698</v>
      </c>
      <c r="L24" s="21">
        <v>287154.42832758598</v>
      </c>
      <c r="M24" s="21">
        <v>284742.03514726</v>
      </c>
      <c r="N24" s="21">
        <f t="shared" si="6"/>
        <v>291632.64220271155</v>
      </c>
    </row>
    <row r="25" spans="1:15" x14ac:dyDescent="0.25">
      <c r="A25" s="9"/>
      <c r="B25" s="5"/>
      <c r="C25" s="7" t="s">
        <v>16</v>
      </c>
      <c r="D25" s="15">
        <f>(D24-D21)/D21</f>
        <v>0.63935822305561962</v>
      </c>
      <c r="E25" s="15">
        <f t="shared" ref="E25:M25" si="8">(E24-E21)/E21</f>
        <v>0.67650221426713053</v>
      </c>
      <c r="F25" s="15">
        <f t="shared" si="8"/>
        <v>0.67744203961696703</v>
      </c>
      <c r="G25" s="15">
        <f t="shared" si="8"/>
        <v>0.71775577940387414</v>
      </c>
      <c r="H25" s="15">
        <f t="shared" si="8"/>
        <v>0.67853711924601345</v>
      </c>
      <c r="I25" s="15">
        <f t="shared" si="8"/>
        <v>0.66369453661840982</v>
      </c>
      <c r="J25" s="15">
        <f t="shared" si="8"/>
        <v>0.6567085284746812</v>
      </c>
      <c r="K25" s="15">
        <f t="shared" si="8"/>
        <v>0.70922146395262309</v>
      </c>
      <c r="L25" s="15">
        <f t="shared" si="8"/>
        <v>0.72012524363215047</v>
      </c>
      <c r="M25" s="15">
        <f t="shared" si="8"/>
        <v>0.72732528290031173</v>
      </c>
      <c r="N25" s="20">
        <f t="shared" si="6"/>
        <v>0.68666704311677818</v>
      </c>
    </row>
    <row r="26" spans="1:15" x14ac:dyDescent="0.25">
      <c r="A26" s="9" t="s">
        <v>31</v>
      </c>
      <c r="B26" s="5" t="s">
        <v>24</v>
      </c>
      <c r="C26" s="5" t="s">
        <v>22</v>
      </c>
      <c r="D26" s="21">
        <v>353132.55781119998</v>
      </c>
      <c r="E26" s="21">
        <v>352169.22134856298</v>
      </c>
      <c r="F26" s="21">
        <v>351871.96007098001</v>
      </c>
      <c r="G26" s="21">
        <v>350321.521092062</v>
      </c>
      <c r="H26" s="21">
        <v>351048.96311559598</v>
      </c>
      <c r="I26" s="21">
        <v>347980.59073273401</v>
      </c>
      <c r="J26" s="21">
        <v>348267.64209626301</v>
      </c>
      <c r="K26" s="21">
        <v>343434.52465929801</v>
      </c>
      <c r="L26" s="21">
        <v>344999.80056834302</v>
      </c>
      <c r="M26" s="21">
        <v>339891.60999274999</v>
      </c>
      <c r="N26" s="21">
        <f>AVERAGE(D26:M26)</f>
        <v>348311.83914877888</v>
      </c>
    </row>
    <row r="27" spans="1:15" x14ac:dyDescent="0.25">
      <c r="A27" s="9"/>
      <c r="B27" s="5" t="s">
        <v>34</v>
      </c>
      <c r="C27" s="5" t="s">
        <v>22</v>
      </c>
      <c r="D27" s="21">
        <v>487341.00214271399</v>
      </c>
      <c r="E27" s="21">
        <v>482712.905880732</v>
      </c>
      <c r="F27" s="21">
        <v>480735.74905577803</v>
      </c>
      <c r="G27" s="21">
        <v>477660.05254976999</v>
      </c>
      <c r="H27" s="21">
        <v>479023.94900288997</v>
      </c>
      <c r="I27" s="21">
        <v>472537.35199236101</v>
      </c>
      <c r="J27" s="21">
        <v>474847.558694301</v>
      </c>
      <c r="K27" s="21">
        <v>468017.225050484</v>
      </c>
      <c r="L27" s="21">
        <v>469128.70102043601</v>
      </c>
      <c r="M27" s="21">
        <v>466704.51736402098</v>
      </c>
      <c r="N27" s="21">
        <f t="shared" ref="N27:N30" si="9">AVERAGE(D27:M27)</f>
        <v>475870.90127534873</v>
      </c>
    </row>
    <row r="28" spans="1:15" x14ac:dyDescent="0.25">
      <c r="A28" s="9"/>
      <c r="B28" s="5"/>
      <c r="C28" s="5" t="s">
        <v>16</v>
      </c>
      <c r="D28" s="14">
        <f>(D27-D26)/D26</f>
        <v>0.38005117727849858</v>
      </c>
      <c r="E28" s="14">
        <f t="shared" ref="E28:M28" si="10">(E27-E26)/E26</f>
        <v>0.37068453634953552</v>
      </c>
      <c r="F28" s="14">
        <f t="shared" si="10"/>
        <v>0.36622352334867336</v>
      </c>
      <c r="G28" s="14">
        <f t="shared" si="10"/>
        <v>0.3634904617357046</v>
      </c>
      <c r="H28" s="14">
        <f t="shared" si="10"/>
        <v>0.3645502460725214</v>
      </c>
      <c r="I28" s="14">
        <f t="shared" si="10"/>
        <v>0.35794169151029648</v>
      </c>
      <c r="J28" s="14">
        <f t="shared" si="10"/>
        <v>0.36345586353110187</v>
      </c>
      <c r="K28" s="14">
        <f t="shared" si="10"/>
        <v>0.36275531854223875</v>
      </c>
      <c r="L28" s="14">
        <f t="shared" si="10"/>
        <v>0.35979412233748109</v>
      </c>
      <c r="M28" s="14">
        <f t="shared" si="10"/>
        <v>0.37309808080869061</v>
      </c>
      <c r="N28" s="17">
        <f t="shared" si="9"/>
        <v>0.36620450215147426</v>
      </c>
    </row>
    <row r="29" spans="1:15" x14ac:dyDescent="0.25">
      <c r="A29" s="9"/>
      <c r="B29" s="5" t="s">
        <v>35</v>
      </c>
      <c r="C29" s="5" t="s">
        <v>22</v>
      </c>
      <c r="D29" s="21">
        <v>457086.11972439301</v>
      </c>
      <c r="E29" s="21">
        <v>452956.28117769799</v>
      </c>
      <c r="F29" s="21">
        <v>455572.76342157798</v>
      </c>
      <c r="G29" s="21">
        <v>447836.16072945</v>
      </c>
      <c r="H29" s="21">
        <v>447582.06629122997</v>
      </c>
      <c r="I29" s="21">
        <v>446307.95922475797</v>
      </c>
      <c r="J29" s="21">
        <v>440476.45271726098</v>
      </c>
      <c r="K29" s="21">
        <v>443586.073223377</v>
      </c>
      <c r="L29" s="21">
        <v>441935.00772549899</v>
      </c>
      <c r="M29" s="21">
        <v>443430.55310974602</v>
      </c>
      <c r="N29" s="21">
        <f t="shared" si="9"/>
        <v>447676.94373449899</v>
      </c>
    </row>
    <row r="30" spans="1:15" x14ac:dyDescent="0.25">
      <c r="A30" s="10"/>
      <c r="B30" s="7"/>
      <c r="C30" s="7" t="s">
        <v>16</v>
      </c>
      <c r="D30" s="15">
        <f>(D29-D26)/D26</f>
        <v>0.29437546783429447</v>
      </c>
      <c r="E30" s="15">
        <f t="shared" ref="E30:M30" si="11">(E29-E26)/E26</f>
        <v>0.28618929116857722</v>
      </c>
      <c r="F30" s="15">
        <f t="shared" si="11"/>
        <v>0.2947117563152214</v>
      </c>
      <c r="G30" s="15">
        <f t="shared" si="11"/>
        <v>0.27835754804159418</v>
      </c>
      <c r="H30" s="15">
        <f t="shared" si="11"/>
        <v>0.27498472668568136</v>
      </c>
      <c r="I30" s="15">
        <f t="shared" si="11"/>
        <v>0.28256566920867193</v>
      </c>
      <c r="J30" s="15">
        <f t="shared" si="11"/>
        <v>0.26476422002912053</v>
      </c>
      <c r="K30" s="15">
        <f t="shared" si="11"/>
        <v>0.29161759046628666</v>
      </c>
      <c r="L30" s="15">
        <f t="shared" si="11"/>
        <v>0.28097177736760315</v>
      </c>
      <c r="M30" s="15">
        <f t="shared" si="11"/>
        <v>0.30462341544471944</v>
      </c>
      <c r="N30" s="20">
        <f t="shared" si="9"/>
        <v>0.28531614625617702</v>
      </c>
    </row>
    <row r="33" spans="1:15" x14ac:dyDescent="0.25">
      <c r="B33" s="1" t="s">
        <v>19</v>
      </c>
    </row>
    <row r="36" spans="1:15" x14ac:dyDescent="0.25">
      <c r="A36" s="18"/>
      <c r="B36" s="12"/>
      <c r="C36" s="12"/>
      <c r="D36" s="12">
        <v>0</v>
      </c>
      <c r="E36" s="12">
        <v>10</v>
      </c>
      <c r="F36" s="12">
        <v>20</v>
      </c>
      <c r="G36" s="12">
        <v>30</v>
      </c>
      <c r="H36" s="12">
        <v>40</v>
      </c>
      <c r="I36" s="12">
        <v>50</v>
      </c>
      <c r="J36" s="12">
        <v>60</v>
      </c>
      <c r="K36" s="12">
        <v>70</v>
      </c>
      <c r="L36" s="12">
        <v>80</v>
      </c>
      <c r="M36" s="12">
        <v>90</v>
      </c>
      <c r="N36" s="18" t="s">
        <v>21</v>
      </c>
      <c r="O36" s="19"/>
    </row>
    <row r="37" spans="1:15" x14ac:dyDescent="0.25">
      <c r="A37" s="9" t="s">
        <v>28</v>
      </c>
      <c r="B37" s="5" t="s">
        <v>24</v>
      </c>
      <c r="C37" s="5" t="s">
        <v>22</v>
      </c>
      <c r="D37" s="21">
        <v>73975.589387469401</v>
      </c>
      <c r="E37" s="21">
        <v>74972.846384722099</v>
      </c>
      <c r="F37" s="21">
        <v>68710.886317522702</v>
      </c>
      <c r="G37" s="21">
        <v>72699.742145292403</v>
      </c>
      <c r="H37" s="21">
        <v>68678.023474409594</v>
      </c>
      <c r="I37" s="21">
        <v>70681.812364187295</v>
      </c>
      <c r="J37" s="21">
        <v>69025.350965928301</v>
      </c>
      <c r="K37" s="21">
        <v>78800.031610990001</v>
      </c>
      <c r="L37" s="21">
        <v>69239.179204786196</v>
      </c>
      <c r="M37" s="21">
        <v>69495.556432835903</v>
      </c>
      <c r="N37" s="21">
        <f>AVERAGE(D37:M37)</f>
        <v>71627.901828814385</v>
      </c>
      <c r="O37" s="19"/>
    </row>
    <row r="38" spans="1:15" x14ac:dyDescent="0.25">
      <c r="A38" s="9"/>
      <c r="B38" s="5" t="s">
        <v>34</v>
      </c>
      <c r="C38" s="5" t="s">
        <v>22</v>
      </c>
      <c r="D38" s="21">
        <v>120659.294513228</v>
      </c>
      <c r="E38" s="21">
        <v>119388.43559079101</v>
      </c>
      <c r="F38" s="21">
        <v>118129.797459814</v>
      </c>
      <c r="G38" s="21">
        <v>122388.16360867499</v>
      </c>
      <c r="H38" s="21">
        <v>122628.22674962701</v>
      </c>
      <c r="I38" s="21">
        <v>114310.93378494801</v>
      </c>
      <c r="J38" s="21">
        <v>118871.369702572</v>
      </c>
      <c r="K38" s="21">
        <v>121843.818725266</v>
      </c>
      <c r="L38" s="21">
        <v>112926.943342093</v>
      </c>
      <c r="M38" s="21">
        <v>118014.458580163</v>
      </c>
      <c r="N38" s="21">
        <f t="shared" ref="N38:N41" si="12">AVERAGE(D38:M38)</f>
        <v>118916.14420571769</v>
      </c>
      <c r="O38" s="19"/>
    </row>
    <row r="39" spans="1:15" x14ac:dyDescent="0.25">
      <c r="A39" s="9"/>
      <c r="B39" s="5"/>
      <c r="C39" s="5" t="s">
        <v>16</v>
      </c>
      <c r="D39" s="14">
        <f>(D38-D37)/D37</f>
        <v>0.63106905280928083</v>
      </c>
      <c r="E39" s="14">
        <f t="shared" ref="E39" si="13">(E38-E37)/E37</f>
        <v>0.59242234152550299</v>
      </c>
      <c r="F39" s="14">
        <f t="shared" ref="F39" si="14">(F38-F37)/F37</f>
        <v>0.71922971439954264</v>
      </c>
      <c r="G39" s="14">
        <f t="shared" ref="G39" si="15">(G38-G37)/G37</f>
        <v>0.68347452132744757</v>
      </c>
      <c r="H39" s="14">
        <f t="shared" ref="H39" si="16">(H38-H37)/H37</f>
        <v>0.78555264909916955</v>
      </c>
      <c r="I39" s="14">
        <f t="shared" ref="I39" si="17">(I38-I37)/I37</f>
        <v>0.61726093264222093</v>
      </c>
      <c r="J39" s="14">
        <f t="shared" ref="J39" si="18">(J38-J37)/J37</f>
        <v>0.72214075030561253</v>
      </c>
      <c r="K39" s="14">
        <f t="shared" ref="K39" si="19">(K38-K37)/K37</f>
        <v>0.54624073409981744</v>
      </c>
      <c r="L39" s="14">
        <f t="shared" ref="L39" si="20">(L38-L37)/L37</f>
        <v>0.63096883352838562</v>
      </c>
      <c r="M39" s="14">
        <f t="shared" ref="M39" si="21">(M38-M37)/M37</f>
        <v>0.69815833756534162</v>
      </c>
      <c r="N39" s="17">
        <f t="shared" si="12"/>
        <v>0.66265178673023217</v>
      </c>
      <c r="O39" s="19"/>
    </row>
    <row r="40" spans="1:15" x14ac:dyDescent="0.25">
      <c r="A40" s="9"/>
      <c r="B40" s="5" t="s">
        <v>35</v>
      </c>
      <c r="C40" s="5" t="s">
        <v>22</v>
      </c>
      <c r="D40" s="21">
        <v>196815.47645101399</v>
      </c>
      <c r="E40" s="21">
        <v>192118.02107441999</v>
      </c>
      <c r="F40" s="21">
        <v>197492.27602121601</v>
      </c>
      <c r="G40" s="21">
        <v>193473.841272652</v>
      </c>
      <c r="H40" s="21">
        <v>183582.64635785401</v>
      </c>
      <c r="I40" s="21">
        <v>187020.73183696499</v>
      </c>
      <c r="J40" s="21">
        <v>172191.214855934</v>
      </c>
      <c r="K40" s="21">
        <v>193704.81120601899</v>
      </c>
      <c r="L40" s="21">
        <v>179315.65749832799</v>
      </c>
      <c r="M40" s="21">
        <v>177774.39381311499</v>
      </c>
      <c r="N40" s="21">
        <f t="shared" si="12"/>
        <v>187348.90703875173</v>
      </c>
      <c r="O40" s="19"/>
    </row>
    <row r="41" spans="1:15" x14ac:dyDescent="0.25">
      <c r="A41" s="9"/>
      <c r="B41" s="5"/>
      <c r="C41" s="7" t="s">
        <v>16</v>
      </c>
      <c r="D41" s="15">
        <f t="shared" ref="D41" si="22">(D40-D37)/D37</f>
        <v>1.6605462434389504</v>
      </c>
      <c r="E41" s="15">
        <f t="shared" ref="E41" si="23">(E40-E37)/E37</f>
        <v>1.5625013633411899</v>
      </c>
      <c r="F41" s="15">
        <f t="shared" ref="F41" si="24">(F40-F37)/F37</f>
        <v>1.8742501604269275</v>
      </c>
      <c r="G41" s="15">
        <f t="shared" ref="G41" si="25">(G40-G37)/G37</f>
        <v>1.661272730321234</v>
      </c>
      <c r="H41" s="15">
        <f t="shared" ref="H41" si="26">(H40-H37)/H37</f>
        <v>1.6730915811265232</v>
      </c>
      <c r="I41" s="15">
        <f t="shared" ref="I41" si="27">(I40-I37)/I37</f>
        <v>1.6459526939312568</v>
      </c>
      <c r="J41" s="15">
        <f t="shared" ref="J41" si="28">(J40-J37)/J37</f>
        <v>1.4946083206578629</v>
      </c>
      <c r="K41" s="15">
        <f t="shared" ref="K41" si="29">(K40-K37)/K37</f>
        <v>1.4581818972139038</v>
      </c>
      <c r="L41" s="15">
        <f t="shared" ref="L41" si="30">(L40-L37)/L37</f>
        <v>1.5898004505219885</v>
      </c>
      <c r="M41" s="15">
        <f t="shared" ref="M41" si="31">(M40-M37)/M37</f>
        <v>1.5580685001770631</v>
      </c>
      <c r="N41" s="15">
        <f t="shared" si="12"/>
        <v>1.61782739411569</v>
      </c>
      <c r="O41" s="19"/>
    </row>
    <row r="42" spans="1:15" x14ac:dyDescent="0.25">
      <c r="A42" s="9" t="s">
        <v>29</v>
      </c>
      <c r="B42" s="5" t="s">
        <v>24</v>
      </c>
      <c r="C42" s="5" t="s">
        <v>22</v>
      </c>
      <c r="D42" s="21">
        <v>91585.876034505505</v>
      </c>
      <c r="E42" s="21">
        <v>87839.852182189497</v>
      </c>
      <c r="F42" s="21">
        <v>80840.814357989802</v>
      </c>
      <c r="G42" s="21">
        <v>85344.243701282598</v>
      </c>
      <c r="H42" s="21">
        <v>84438.737496954898</v>
      </c>
      <c r="I42" s="21">
        <v>85196.896015083403</v>
      </c>
      <c r="J42" s="21">
        <v>83212.249672667996</v>
      </c>
      <c r="K42" s="21">
        <v>73788.099216019298</v>
      </c>
      <c r="L42" s="21">
        <v>77111.803393467097</v>
      </c>
      <c r="M42" s="21">
        <v>75854.417615587197</v>
      </c>
      <c r="N42" s="21">
        <f>AVERAGE(D42:M42)</f>
        <v>82521.298968574745</v>
      </c>
      <c r="O42" s="19"/>
    </row>
    <row r="43" spans="1:15" x14ac:dyDescent="0.25">
      <c r="A43" s="9"/>
      <c r="B43" s="5" t="s">
        <v>34</v>
      </c>
      <c r="C43" s="5" t="s">
        <v>22</v>
      </c>
      <c r="D43" s="21">
        <v>163732.938475831</v>
      </c>
      <c r="E43" s="21">
        <v>158734.43240871601</v>
      </c>
      <c r="F43" s="21">
        <v>154219.05117063501</v>
      </c>
      <c r="G43" s="21">
        <v>161876.712759841</v>
      </c>
      <c r="H43" s="21">
        <v>154806.14929922001</v>
      </c>
      <c r="I43" s="21">
        <v>154222.405521882</v>
      </c>
      <c r="J43" s="21">
        <v>151027.85987368401</v>
      </c>
      <c r="K43" s="21">
        <v>148482.33402746101</v>
      </c>
      <c r="L43" s="21">
        <v>155943.027032624</v>
      </c>
      <c r="M43" s="21">
        <v>154724.32579390801</v>
      </c>
      <c r="N43" s="21">
        <f t="shared" ref="N43:N46" si="32">AVERAGE(D43:M43)</f>
        <v>155776.92363638018</v>
      </c>
      <c r="O43" s="19"/>
    </row>
    <row r="44" spans="1:15" x14ac:dyDescent="0.25">
      <c r="A44" s="9"/>
      <c r="B44" s="5"/>
      <c r="C44" s="5" t="s">
        <v>16</v>
      </c>
      <c r="D44" s="14">
        <f>(D43-D42)/D42</f>
        <v>0.78775315108787825</v>
      </c>
      <c r="E44" s="14">
        <f t="shared" ref="E44:M44" si="33">(E43-E42)/E42</f>
        <v>0.80708902013499939</v>
      </c>
      <c r="F44" s="14">
        <f t="shared" si="33"/>
        <v>0.90768799640862297</v>
      </c>
      <c r="G44" s="14">
        <f t="shared" si="33"/>
        <v>0.89675021699686386</v>
      </c>
      <c r="H44" s="14">
        <f t="shared" si="33"/>
        <v>0.83335461765759777</v>
      </c>
      <c r="I44" s="14">
        <f t="shared" si="33"/>
        <v>0.81018807885416633</v>
      </c>
      <c r="J44" s="14">
        <f t="shared" si="33"/>
        <v>0.81497147917262491</v>
      </c>
      <c r="K44" s="14">
        <f t="shared" si="33"/>
        <v>1.0122802403781894</v>
      </c>
      <c r="L44" s="14">
        <f t="shared" si="33"/>
        <v>1.0222977568935376</v>
      </c>
      <c r="M44" s="14">
        <f t="shared" si="33"/>
        <v>1.039753657829336</v>
      </c>
      <c r="N44" s="14">
        <f t="shared" si="32"/>
        <v>0.8932126215413817</v>
      </c>
      <c r="O44" s="19"/>
    </row>
    <row r="45" spans="1:15" x14ac:dyDescent="0.25">
      <c r="A45" s="9"/>
      <c r="B45" s="5" t="s">
        <v>35</v>
      </c>
      <c r="C45" s="5" t="s">
        <v>22</v>
      </c>
      <c r="D45" s="21">
        <v>240582.05574873599</v>
      </c>
      <c r="E45" s="21">
        <v>227691.11659753401</v>
      </c>
      <c r="F45" s="21">
        <v>223222.531449214</v>
      </c>
      <c r="G45" s="21">
        <v>232277.695200733</v>
      </c>
      <c r="H45" s="21">
        <v>218567.39482422901</v>
      </c>
      <c r="I45" s="21">
        <v>219972.87267082499</v>
      </c>
      <c r="J45" s="21">
        <v>225106.90377667799</v>
      </c>
      <c r="K45" s="21">
        <v>218610.148839064</v>
      </c>
      <c r="L45" s="21">
        <v>224824.027833195</v>
      </c>
      <c r="M45" s="21">
        <v>219996.21959969201</v>
      </c>
      <c r="N45" s="21">
        <f t="shared" si="32"/>
        <v>225085.09665398998</v>
      </c>
      <c r="O45" s="19"/>
    </row>
    <row r="46" spans="1:15" x14ac:dyDescent="0.25">
      <c r="A46" s="9"/>
      <c r="B46" s="5"/>
      <c r="C46" s="7" t="s">
        <v>16</v>
      </c>
      <c r="D46" s="15">
        <f>(D45-D42)/D42</f>
        <v>1.6268466947686924</v>
      </c>
      <c r="E46" s="15">
        <f t="shared" ref="E46:M46" si="34">(E45-E42)/E42</f>
        <v>1.5921163451559281</v>
      </c>
      <c r="F46" s="15">
        <f t="shared" si="34"/>
        <v>1.7612603017667658</v>
      </c>
      <c r="G46" s="15">
        <f t="shared" si="34"/>
        <v>1.7216562608925223</v>
      </c>
      <c r="H46" s="15">
        <f t="shared" si="34"/>
        <v>1.5884730314935269</v>
      </c>
      <c r="I46" s="15">
        <f t="shared" si="34"/>
        <v>1.5819352929463604</v>
      </c>
      <c r="J46" s="15">
        <f t="shared" si="34"/>
        <v>1.7052135312070154</v>
      </c>
      <c r="K46" s="15">
        <f t="shared" si="34"/>
        <v>1.962674891503426</v>
      </c>
      <c r="L46" s="15">
        <f t="shared" si="34"/>
        <v>1.915559200269489</v>
      </c>
      <c r="M46" s="15">
        <f t="shared" si="34"/>
        <v>1.9002426821676017</v>
      </c>
      <c r="N46" s="15">
        <f t="shared" si="32"/>
        <v>1.7355978232171327</v>
      </c>
    </row>
    <row r="47" spans="1:15" x14ac:dyDescent="0.25">
      <c r="A47" s="9" t="s">
        <v>30</v>
      </c>
      <c r="B47" s="5" t="s">
        <v>24</v>
      </c>
      <c r="C47" s="5" t="s">
        <v>22</v>
      </c>
      <c r="D47" s="21">
        <v>90864.850823273897</v>
      </c>
      <c r="E47" s="21">
        <v>91870.391061418399</v>
      </c>
      <c r="F47" s="21">
        <v>91974.492419919596</v>
      </c>
      <c r="G47" s="21">
        <v>89507.842729985496</v>
      </c>
      <c r="H47" s="21">
        <v>90473.8253419104</v>
      </c>
      <c r="I47" s="21">
        <v>88214.766790338806</v>
      </c>
      <c r="J47" s="21">
        <v>83356.811194232505</v>
      </c>
      <c r="K47" s="21">
        <v>85629.511253688004</v>
      </c>
      <c r="L47" s="21">
        <v>88091.792601092602</v>
      </c>
      <c r="M47" s="21">
        <v>91420.567704697605</v>
      </c>
      <c r="N47" s="21">
        <f>AVERAGE(D47:M47)</f>
        <v>89140.485192055727</v>
      </c>
    </row>
    <row r="48" spans="1:15" x14ac:dyDescent="0.25">
      <c r="A48" s="9"/>
      <c r="B48" s="5" t="s">
        <v>34</v>
      </c>
      <c r="C48" s="5" t="s">
        <v>22</v>
      </c>
      <c r="D48" s="21">
        <v>208593.115143264</v>
      </c>
      <c r="E48" s="21">
        <v>203531.800833421</v>
      </c>
      <c r="F48" s="21">
        <v>200582.54275533199</v>
      </c>
      <c r="G48" s="21">
        <v>206970.67328057101</v>
      </c>
      <c r="H48" s="21">
        <v>196802.20016405301</v>
      </c>
      <c r="I48" s="21">
        <v>201603.28512626601</v>
      </c>
      <c r="J48" s="21">
        <v>202018.79306299301</v>
      </c>
      <c r="K48" s="21">
        <v>198608.257839862</v>
      </c>
      <c r="L48" s="21">
        <v>202612.96836445399</v>
      </c>
      <c r="M48" s="21">
        <v>201824.77475419099</v>
      </c>
      <c r="N48" s="21">
        <f t="shared" ref="N48:N51" si="35">AVERAGE(D48:M48)</f>
        <v>202314.84113244072</v>
      </c>
    </row>
    <row r="49" spans="1:21" x14ac:dyDescent="0.25">
      <c r="A49" s="9"/>
      <c r="B49" s="5"/>
      <c r="C49" s="5" t="s">
        <v>16</v>
      </c>
      <c r="D49" s="14">
        <f>(D48-D47)/D47</f>
        <v>1.2956414196834347</v>
      </c>
      <c r="E49" s="14">
        <f t="shared" ref="E49:M49" si="36">(E48-E47)/E47</f>
        <v>1.2154232553266617</v>
      </c>
      <c r="F49" s="14">
        <f t="shared" si="36"/>
        <v>1.1808496842749669</v>
      </c>
      <c r="G49" s="14">
        <f t="shared" si="36"/>
        <v>1.3123188646712294</v>
      </c>
      <c r="H49" s="14">
        <f t="shared" si="36"/>
        <v>1.1752390751724728</v>
      </c>
      <c r="I49" s="14">
        <f t="shared" si="36"/>
        <v>1.2853689066074299</v>
      </c>
      <c r="J49" s="14">
        <f t="shared" si="36"/>
        <v>1.4235427215691137</v>
      </c>
      <c r="K49" s="14">
        <f t="shared" si="36"/>
        <v>1.3193903005175458</v>
      </c>
      <c r="L49" s="14">
        <f t="shared" si="36"/>
        <v>1.3000209483981029</v>
      </c>
      <c r="M49" s="14">
        <f t="shared" si="36"/>
        <v>1.2076517333179972</v>
      </c>
      <c r="N49" s="14">
        <f t="shared" si="35"/>
        <v>1.2715446909538954</v>
      </c>
    </row>
    <row r="50" spans="1:21" x14ac:dyDescent="0.25">
      <c r="A50" s="9"/>
      <c r="B50" s="5" t="s">
        <v>35</v>
      </c>
      <c r="C50" s="5" t="s">
        <v>22</v>
      </c>
      <c r="D50" s="21">
        <v>284647.98313861003</v>
      </c>
      <c r="E50" s="21">
        <v>288270.43017253699</v>
      </c>
      <c r="F50" s="21">
        <v>273676.09115388198</v>
      </c>
      <c r="G50" s="21">
        <v>281347.84855230502</v>
      </c>
      <c r="H50" s="21">
        <v>276711.849957673</v>
      </c>
      <c r="I50" s="21">
        <v>277253.38194471702</v>
      </c>
      <c r="J50" s="21">
        <v>283081.56052531599</v>
      </c>
      <c r="K50" s="21">
        <v>272194.20790298498</v>
      </c>
      <c r="L50" s="21">
        <v>274482.816577808</v>
      </c>
      <c r="M50" s="21">
        <v>271354.689229529</v>
      </c>
      <c r="N50" s="21">
        <f t="shared" si="35"/>
        <v>278302.08591553615</v>
      </c>
    </row>
    <row r="51" spans="1:21" x14ac:dyDescent="0.25">
      <c r="A51" s="9"/>
      <c r="B51" s="5"/>
      <c r="C51" s="7" t="s">
        <v>16</v>
      </c>
      <c r="D51" s="15">
        <f>(D50-D47)/D47</f>
        <v>2.1326522913929775</v>
      </c>
      <c r="E51" s="15">
        <f t="shared" ref="E51:M51" si="37">(E50-E47)/E47</f>
        <v>2.1377947436820928</v>
      </c>
      <c r="F51" s="15">
        <f t="shared" si="37"/>
        <v>1.9755651154276981</v>
      </c>
      <c r="G51" s="15">
        <f t="shared" si="37"/>
        <v>2.1432759406461748</v>
      </c>
      <c r="H51" s="15">
        <f t="shared" si="37"/>
        <v>2.058474082553146</v>
      </c>
      <c r="I51" s="15">
        <f t="shared" si="37"/>
        <v>2.1429361776092293</v>
      </c>
      <c r="J51" s="15">
        <f t="shared" si="37"/>
        <v>2.3960219503322668</v>
      </c>
      <c r="K51" s="15">
        <f t="shared" si="37"/>
        <v>2.1787429814538588</v>
      </c>
      <c r="L51" s="15">
        <f t="shared" si="37"/>
        <v>2.1158727558281472</v>
      </c>
      <c r="M51" s="15">
        <f t="shared" si="37"/>
        <v>1.9682017519957444</v>
      </c>
      <c r="N51" s="15">
        <f t="shared" si="35"/>
        <v>2.1249537790921336</v>
      </c>
    </row>
    <row r="52" spans="1:21" x14ac:dyDescent="0.25">
      <c r="A52" s="9" t="s">
        <v>31</v>
      </c>
      <c r="B52" s="5" t="s">
        <v>24</v>
      </c>
      <c r="C52" s="5" t="s">
        <v>22</v>
      </c>
      <c r="D52" s="23">
        <v>151146.64154252401</v>
      </c>
      <c r="E52" s="23">
        <v>156724.988339387</v>
      </c>
      <c r="F52" s="23">
        <v>150194.10310012399</v>
      </c>
      <c r="G52" s="23">
        <v>149629.56858916901</v>
      </c>
      <c r="H52" s="23">
        <v>148964.77144383601</v>
      </c>
      <c r="I52" s="23">
        <v>145543.443108156</v>
      </c>
      <c r="J52" s="23">
        <v>151760.61418195601</v>
      </c>
      <c r="K52" s="23">
        <v>146550.341521642</v>
      </c>
      <c r="L52" s="23">
        <v>151085.860117501</v>
      </c>
      <c r="M52" s="23">
        <v>140624.496936827</v>
      </c>
      <c r="N52" s="23">
        <f>AVERAGE(D52:M52)</f>
        <v>149222.48288811216</v>
      </c>
    </row>
    <row r="53" spans="1:21" x14ac:dyDescent="0.25">
      <c r="A53" s="9"/>
      <c r="B53" s="5" t="s">
        <v>34</v>
      </c>
      <c r="C53" s="5" t="s">
        <v>22</v>
      </c>
      <c r="D53" s="21">
        <v>268013.63925752899</v>
      </c>
      <c r="E53" s="21">
        <v>261386.253040479</v>
      </c>
      <c r="F53" s="21">
        <v>277657.96650794399</v>
      </c>
      <c r="G53" s="21">
        <v>264554.982321052</v>
      </c>
      <c r="H53" s="21">
        <v>261577.744648975</v>
      </c>
      <c r="I53" s="21">
        <v>269317.12010979</v>
      </c>
      <c r="J53" s="21">
        <v>269273.03819372202</v>
      </c>
      <c r="K53" s="21">
        <v>272047.975165718</v>
      </c>
      <c r="L53" s="21">
        <v>261439.633832736</v>
      </c>
      <c r="M53" s="21">
        <v>272774.39652211999</v>
      </c>
      <c r="N53" s="23">
        <f t="shared" ref="N53:N56" si="38">AVERAGE(D53:M53)</f>
        <v>267804.27496000653</v>
      </c>
    </row>
    <row r="54" spans="1:21" x14ac:dyDescent="0.25">
      <c r="A54" s="9"/>
      <c r="B54" s="5"/>
      <c r="C54" s="5" t="s">
        <v>16</v>
      </c>
      <c r="D54" s="14">
        <f>(D53-D52)/D52</f>
        <v>0.77320274220003293</v>
      </c>
      <c r="E54" s="14">
        <f t="shared" ref="E54:M54" si="39">(E53-E52)/E52</f>
        <v>0.66780202576534053</v>
      </c>
      <c r="F54" s="14">
        <f t="shared" si="39"/>
        <v>0.84866090463517518</v>
      </c>
      <c r="G54" s="14">
        <f t="shared" si="39"/>
        <v>0.76806619717943847</v>
      </c>
      <c r="H54" s="14">
        <f t="shared" si="39"/>
        <v>0.75597050305009394</v>
      </c>
      <c r="I54" s="14">
        <f t="shared" si="39"/>
        <v>0.85042427441857005</v>
      </c>
      <c r="J54" s="14">
        <f t="shared" si="39"/>
        <v>0.77432754634791112</v>
      </c>
      <c r="K54" s="14">
        <f t="shared" si="39"/>
        <v>0.85634487331128462</v>
      </c>
      <c r="L54" s="14">
        <f t="shared" si="39"/>
        <v>0.73040437820860116</v>
      </c>
      <c r="M54" s="14">
        <f t="shared" si="39"/>
        <v>0.93973598102654143</v>
      </c>
      <c r="N54" s="22">
        <f t="shared" si="38"/>
        <v>0.79649394261429907</v>
      </c>
    </row>
    <row r="55" spans="1:21" x14ac:dyDescent="0.25">
      <c r="A55" s="9"/>
      <c r="B55" s="5" t="s">
        <v>35</v>
      </c>
      <c r="C55" s="5" t="s">
        <v>22</v>
      </c>
      <c r="D55" s="21">
        <v>341339.032879084</v>
      </c>
      <c r="E55" s="21">
        <v>348782.72807513498</v>
      </c>
      <c r="F55" s="21">
        <v>345609.36055140197</v>
      </c>
      <c r="G55" s="21">
        <v>351183.35087134998</v>
      </c>
      <c r="H55" s="21">
        <v>339838.33759540698</v>
      </c>
      <c r="I55" s="21">
        <v>337380.90917603398</v>
      </c>
      <c r="J55" s="21">
        <v>345485.37809485698</v>
      </c>
      <c r="K55" s="21">
        <v>335333.693408361</v>
      </c>
      <c r="L55" s="21">
        <v>338603.920631569</v>
      </c>
      <c r="M55" s="21">
        <v>339692.572744067</v>
      </c>
      <c r="N55" s="23">
        <f>AVERAGE(D55:M55)</f>
        <v>342324.92840272654</v>
      </c>
    </row>
    <row r="56" spans="1:21" x14ac:dyDescent="0.25">
      <c r="A56" s="10"/>
      <c r="B56" s="7"/>
      <c r="C56" s="7" t="s">
        <v>16</v>
      </c>
      <c r="D56" s="15">
        <f t="shared" ref="D56:M56" si="40">(D55-D52)/D52</f>
        <v>1.2583302506463614</v>
      </c>
      <c r="E56" s="15">
        <f t="shared" si="40"/>
        <v>1.2254442751646477</v>
      </c>
      <c r="F56" s="15">
        <f t="shared" si="40"/>
        <v>1.3010847524486908</v>
      </c>
      <c r="G56" s="15">
        <f t="shared" si="40"/>
        <v>1.3470184013934965</v>
      </c>
      <c r="H56" s="15">
        <f t="shared" si="40"/>
        <v>1.2813335951952625</v>
      </c>
      <c r="I56" s="15">
        <f t="shared" si="40"/>
        <v>1.3180770082876219</v>
      </c>
      <c r="J56" s="15">
        <f t="shared" si="40"/>
        <v>1.2765154184249103</v>
      </c>
      <c r="K56" s="15">
        <f t="shared" si="40"/>
        <v>1.2881809071652024</v>
      </c>
      <c r="L56" s="15">
        <f t="shared" si="40"/>
        <v>1.2411357381043686</v>
      </c>
      <c r="M56" s="15">
        <f t="shared" si="40"/>
        <v>1.41560026982118</v>
      </c>
      <c r="N56" s="15">
        <f t="shared" si="38"/>
        <v>1.2952720616651743</v>
      </c>
    </row>
    <row r="58" spans="1:21" x14ac:dyDescent="0.25">
      <c r="I58" s="13"/>
      <c r="J58" s="32" t="s">
        <v>34</v>
      </c>
      <c r="K58" s="32"/>
      <c r="L58" s="32"/>
      <c r="M58" s="32"/>
      <c r="N58" s="32"/>
      <c r="O58" s="32"/>
      <c r="P58" s="32" t="s">
        <v>35</v>
      </c>
      <c r="Q58" s="32"/>
      <c r="R58" s="32"/>
      <c r="S58" s="32"/>
      <c r="T58" s="32"/>
      <c r="U58" s="32"/>
    </row>
    <row r="59" spans="1:21" x14ac:dyDescent="0.25">
      <c r="D59" s="1" t="s">
        <v>2</v>
      </c>
      <c r="E59" s="1" t="s">
        <v>18</v>
      </c>
      <c r="F59" s="1" t="s">
        <v>7</v>
      </c>
      <c r="G59" s="1" t="s">
        <v>8</v>
      </c>
      <c r="I59" s="5"/>
      <c r="J59" s="33" t="s">
        <v>36</v>
      </c>
      <c r="K59" s="33"/>
      <c r="L59" s="33" t="s">
        <v>37</v>
      </c>
      <c r="M59" s="33"/>
      <c r="N59" s="33" t="s">
        <v>38</v>
      </c>
      <c r="O59" s="33"/>
      <c r="P59" s="33" t="s">
        <v>36</v>
      </c>
      <c r="Q59" s="33"/>
      <c r="R59" s="33" t="s">
        <v>37</v>
      </c>
      <c r="S59" s="33"/>
      <c r="T59" s="33" t="s">
        <v>38</v>
      </c>
      <c r="U59" s="33"/>
    </row>
    <row r="60" spans="1:21" ht="14.4" customHeight="1" x14ac:dyDescent="0.25">
      <c r="B60" s="1" t="s">
        <v>20</v>
      </c>
      <c r="C60" s="1" t="s">
        <v>3</v>
      </c>
      <c r="D60" s="1">
        <v>68834.073814738993</v>
      </c>
      <c r="E60" s="1">
        <v>57190.729737252201</v>
      </c>
      <c r="I60" s="7"/>
      <c r="J60" s="7" t="s">
        <v>28</v>
      </c>
      <c r="K60" s="7" t="s">
        <v>29</v>
      </c>
      <c r="L60" s="7" t="s">
        <v>28</v>
      </c>
      <c r="M60" s="7" t="s">
        <v>29</v>
      </c>
      <c r="N60" s="7" t="s">
        <v>28</v>
      </c>
      <c r="O60" s="7" t="s">
        <v>29</v>
      </c>
      <c r="P60" s="7" t="s">
        <v>28</v>
      </c>
      <c r="Q60" s="7" t="s">
        <v>29</v>
      </c>
      <c r="R60" s="7" t="s">
        <v>28</v>
      </c>
      <c r="S60" s="7" t="s">
        <v>29</v>
      </c>
      <c r="T60" s="7" t="s">
        <v>28</v>
      </c>
      <c r="U60" s="7" t="s">
        <v>29</v>
      </c>
    </row>
    <row r="61" spans="1:21" x14ac:dyDescent="0.25">
      <c r="C61" s="1" t="s">
        <v>4</v>
      </c>
      <c r="D61" s="1">
        <v>120078.96425713001</v>
      </c>
      <c r="E61" s="1">
        <v>87863.2957465496</v>
      </c>
      <c r="I61" s="5" t="s">
        <v>32</v>
      </c>
      <c r="J61" s="25">
        <v>0.73314336674668767</v>
      </c>
      <c r="K61" s="25">
        <v>0.57230652451316544</v>
      </c>
      <c r="L61" s="14">
        <v>0.87800732139661919</v>
      </c>
      <c r="M61" s="14">
        <v>0.81646806562977248</v>
      </c>
      <c r="N61" s="25">
        <v>1.0116417963773925</v>
      </c>
      <c r="O61" s="25">
        <v>1.0051966909194161</v>
      </c>
      <c r="P61" s="25">
        <v>1.8161746383137241</v>
      </c>
      <c r="Q61" s="25">
        <v>1.3367762962078411</v>
      </c>
      <c r="R61" s="14">
        <v>1.9639038825521122</v>
      </c>
      <c r="S61" s="14">
        <v>1.6379571605845058</v>
      </c>
      <c r="T61" s="25">
        <v>2.1972394791118757</v>
      </c>
      <c r="U61" s="25">
        <v>1.9704269210859164</v>
      </c>
    </row>
    <row r="62" spans="1:21" x14ac:dyDescent="0.25">
      <c r="B62" s="1" t="s">
        <v>23</v>
      </c>
      <c r="C62" s="1" t="s">
        <v>3</v>
      </c>
      <c r="D62" s="1">
        <v>66136.085214824401</v>
      </c>
      <c r="E62" s="11">
        <v>71758.2871539513</v>
      </c>
      <c r="I62" s="7" t="s">
        <v>33</v>
      </c>
      <c r="J62" s="26">
        <v>0.64909821013921665</v>
      </c>
      <c r="K62" s="26">
        <v>0.21501455643441661</v>
      </c>
      <c r="L62" s="15">
        <v>0.77556493242578473</v>
      </c>
      <c r="M62" s="15">
        <v>0.44962348206339531</v>
      </c>
      <c r="N62" s="26">
        <v>0.931072877364023</v>
      </c>
      <c r="O62" s="26">
        <v>0.80912154406020587</v>
      </c>
      <c r="P62" s="26">
        <v>1.6387537723991199</v>
      </c>
      <c r="Q62" s="26">
        <v>0.7444499005852957</v>
      </c>
      <c r="R62" s="15">
        <v>1.8553270637311154</v>
      </c>
      <c r="S62" s="15">
        <v>1.0312566851829954</v>
      </c>
      <c r="T62" s="26">
        <v>2.0601270848358761</v>
      </c>
      <c r="U62" s="26">
        <v>1.2833579053956783</v>
      </c>
    </row>
    <row r="63" spans="1:21" x14ac:dyDescent="0.25">
      <c r="C63" s="1" t="s">
        <v>4</v>
      </c>
      <c r="D63" s="1">
        <v>93309.946524365703</v>
      </c>
      <c r="E63" s="11">
        <v>123256.69429879299</v>
      </c>
    </row>
    <row r="64" spans="1:21" x14ac:dyDescent="0.25">
      <c r="E64" s="11"/>
    </row>
    <row r="65" spans="1:16" x14ac:dyDescent="0.25">
      <c r="A65" s="8"/>
      <c r="B65" s="12"/>
      <c r="C65" s="12"/>
      <c r="D65" s="12">
        <v>0</v>
      </c>
      <c r="E65" s="12">
        <v>10</v>
      </c>
      <c r="F65" s="12">
        <v>20</v>
      </c>
      <c r="G65" s="12">
        <v>30</v>
      </c>
      <c r="H65" s="12">
        <v>40</v>
      </c>
      <c r="I65" s="12">
        <v>50</v>
      </c>
      <c r="J65" s="12">
        <v>60</v>
      </c>
      <c r="K65" s="12">
        <v>70</v>
      </c>
      <c r="L65" s="12">
        <v>80</v>
      </c>
      <c r="M65" s="12">
        <v>90</v>
      </c>
      <c r="N65" s="18" t="s">
        <v>21</v>
      </c>
    </row>
    <row r="66" spans="1:16" x14ac:dyDescent="0.25">
      <c r="A66" s="9" t="s">
        <v>39</v>
      </c>
      <c r="B66" s="5" t="s">
        <v>24</v>
      </c>
      <c r="C66" s="5" t="s">
        <v>22</v>
      </c>
      <c r="D66" s="23">
        <v>64471.745277790498</v>
      </c>
      <c r="E66" s="23">
        <v>69099.824298282401</v>
      </c>
      <c r="F66" s="23">
        <v>62903.3874101111</v>
      </c>
      <c r="G66" s="23">
        <v>65457.939883632302</v>
      </c>
      <c r="H66" s="23">
        <v>67222.302255189104</v>
      </c>
      <c r="I66" s="23">
        <v>67626.410379330497</v>
      </c>
      <c r="J66" s="23">
        <v>63474.423247463303</v>
      </c>
      <c r="K66" s="23">
        <v>66007.926705106904</v>
      </c>
      <c r="L66" s="23">
        <v>66951.408507525106</v>
      </c>
      <c r="M66" s="23">
        <v>68145.484183813503</v>
      </c>
      <c r="N66" s="23">
        <f>AVERAGE(D66:M66)</f>
        <v>66136.085214824459</v>
      </c>
    </row>
    <row r="67" spans="1:16" x14ac:dyDescent="0.25">
      <c r="A67" s="9"/>
      <c r="B67" s="5" t="s">
        <v>34</v>
      </c>
      <c r="C67" s="5" t="s">
        <v>22</v>
      </c>
      <c r="D67" s="21">
        <v>124619.587426189</v>
      </c>
      <c r="E67" s="21">
        <v>129810.760845679</v>
      </c>
      <c r="F67" s="21">
        <v>119953.95095198799</v>
      </c>
      <c r="G67" s="21">
        <v>122170.524895483</v>
      </c>
      <c r="H67" s="21">
        <v>128480.61144660199</v>
      </c>
      <c r="I67" s="21">
        <v>117206.264565826</v>
      </c>
      <c r="J67" s="21">
        <v>127687.802805546</v>
      </c>
      <c r="K67" s="21">
        <v>123698.051196799</v>
      </c>
      <c r="L67" s="21">
        <v>125423.705699371</v>
      </c>
      <c r="M67" s="21">
        <v>122101.90792692101</v>
      </c>
      <c r="N67" s="23">
        <f t="shared" ref="N67:N70" si="41">AVERAGE(D67:M67)</f>
        <v>124115.3167760404</v>
      </c>
      <c r="O67" s="19"/>
    </row>
    <row r="68" spans="1:16" x14ac:dyDescent="0.25">
      <c r="A68" s="9"/>
      <c r="B68" s="5"/>
      <c r="C68" s="5" t="s">
        <v>16</v>
      </c>
      <c r="D68" s="14">
        <f t="shared" ref="D68" si="42">(D67-D66)/D66</f>
        <v>0.93293336312269004</v>
      </c>
      <c r="E68" s="14">
        <f t="shared" ref="E68" si="43">(E67-E66)/E66</f>
        <v>0.8785975530896637</v>
      </c>
      <c r="F68" s="14">
        <f t="shared" ref="F68" si="44">(F67-F66)/F66</f>
        <v>0.90695534677527678</v>
      </c>
      <c r="G68" s="14">
        <f t="shared" ref="G68" si="45">(G67-G66)/G66</f>
        <v>0.86639734022597359</v>
      </c>
      <c r="H68" s="14">
        <f t="shared" ref="H68" si="46">(H67-H66)/H66</f>
        <v>0.91127954765465002</v>
      </c>
      <c r="I68" s="14">
        <f t="shared" ref="I68" si="47">(I67-I66)/I66</f>
        <v>0.73314336674668767</v>
      </c>
      <c r="J68" s="14">
        <f t="shared" ref="J68" si="48">(J67-J66)/J66</f>
        <v>1.0116417963773925</v>
      </c>
      <c r="K68" s="14">
        <f t="shared" ref="K68" si="49">(K67-K66)/K66</f>
        <v>0.87398782799867469</v>
      </c>
      <c r="L68" s="14">
        <f t="shared" ref="L68" si="50">(L67-L66)/L66</f>
        <v>0.87335425042288406</v>
      </c>
      <c r="M68" s="14">
        <f t="shared" ref="M68" si="51">(M67-M66)/M66</f>
        <v>0.79178282155230018</v>
      </c>
      <c r="N68" s="17">
        <f t="shared" si="41"/>
        <v>0.87800732139661919</v>
      </c>
      <c r="O68" s="24">
        <f>MIN(D68:M68)</f>
        <v>0.73314336674668767</v>
      </c>
      <c r="P68" s="24">
        <f>MAX(D68:M68)</f>
        <v>1.0116417963773925</v>
      </c>
    </row>
    <row r="69" spans="1:16" x14ac:dyDescent="0.25">
      <c r="A69" s="9"/>
      <c r="B69" s="5" t="s">
        <v>35</v>
      </c>
      <c r="C69" s="5" t="s">
        <v>22</v>
      </c>
      <c r="D69" s="23">
        <v>181988.32169541001</v>
      </c>
      <c r="E69" s="23">
        <v>199631.85219282901</v>
      </c>
      <c r="F69" s="23">
        <v>200738.232915995</v>
      </c>
      <c r="G69" s="23">
        <v>209284.70961728101</v>
      </c>
      <c r="H69" s="23">
        <v>189309.74274012301</v>
      </c>
      <c r="I69" s="23">
        <v>195277.04411255699</v>
      </c>
      <c r="J69" s="23">
        <v>193185.25034469899</v>
      </c>
      <c r="K69" s="23">
        <v>196104.04580964599</v>
      </c>
      <c r="L69" s="23">
        <v>193357.80788651999</v>
      </c>
      <c r="M69" s="23">
        <v>199841.118377159</v>
      </c>
      <c r="N69" s="23">
        <f t="shared" si="41"/>
        <v>195871.81256922189</v>
      </c>
      <c r="O69" s="24"/>
      <c r="P69" s="24"/>
    </row>
    <row r="70" spans="1:16" x14ac:dyDescent="0.25">
      <c r="A70" s="9"/>
      <c r="B70" s="5"/>
      <c r="C70" s="7" t="s">
        <v>16</v>
      </c>
      <c r="D70" s="15">
        <f t="shared" ref="D70" si="52">(D69-D66)/D66</f>
        <v>1.8227608995424871</v>
      </c>
      <c r="E70" s="15">
        <f t="shared" ref="E70" si="53">(E69-E66)/E66</f>
        <v>1.8890355977039903</v>
      </c>
      <c r="F70" s="15">
        <f t="shared" ref="F70" si="54">(F69-F66)/F66</f>
        <v>2.191214991447795</v>
      </c>
      <c r="G70" s="15">
        <f t="shared" ref="G70" si="55">(G69-G66)/G66</f>
        <v>2.1972394791118757</v>
      </c>
      <c r="H70" s="15">
        <f t="shared" ref="H70" si="56">(H69-H66)/H66</f>
        <v>1.8161746383137241</v>
      </c>
      <c r="I70" s="15">
        <f t="shared" ref="I70" si="57">(I69-I66)/I66</f>
        <v>1.8875855308186216</v>
      </c>
      <c r="J70" s="15">
        <f t="shared" ref="J70" si="58">(J69-J66)/J66</f>
        <v>2.0435132839496806</v>
      </c>
      <c r="K70" s="15">
        <f t="shared" ref="K70" si="59">(K69-K66)/K66</f>
        <v>1.9709166095421962</v>
      </c>
      <c r="L70" s="15">
        <f t="shared" ref="L70" si="60">(L69-L66)/L66</f>
        <v>1.8880319652242603</v>
      </c>
      <c r="M70" s="15">
        <f t="shared" ref="M70" si="61">(M69-M66)/M66</f>
        <v>1.9325658298664927</v>
      </c>
      <c r="N70" s="20">
        <f t="shared" si="41"/>
        <v>1.9639038825521122</v>
      </c>
      <c r="O70" s="24">
        <f t="shared" ref="O70:O85" si="62">MIN(D70:M70)</f>
        <v>1.8161746383137241</v>
      </c>
      <c r="P70" s="24">
        <f t="shared" ref="P70:P85" si="63">MAX(D70:M70)</f>
        <v>2.1972394791118757</v>
      </c>
    </row>
    <row r="71" spans="1:16" x14ac:dyDescent="0.25">
      <c r="A71" s="9" t="s">
        <v>40</v>
      </c>
      <c r="B71" s="5" t="s">
        <v>24</v>
      </c>
      <c r="C71" s="5" t="s">
        <v>22</v>
      </c>
      <c r="D71" s="21">
        <v>102450.19030073901</v>
      </c>
      <c r="E71" s="21">
        <v>84959.730003660501</v>
      </c>
      <c r="F71" s="21">
        <v>91065.734547315995</v>
      </c>
      <c r="G71" s="21">
        <v>94209.899347057901</v>
      </c>
      <c r="H71" s="21">
        <v>99780.556289457294</v>
      </c>
      <c r="I71" s="21">
        <v>93225.093791940599</v>
      </c>
      <c r="J71" s="21">
        <v>91741.445826689902</v>
      </c>
      <c r="K71" s="21">
        <v>87368.524974543296</v>
      </c>
      <c r="L71" s="21">
        <v>93966.080403394895</v>
      </c>
      <c r="M71" s="21">
        <v>94332.209758858196</v>
      </c>
      <c r="N71" s="21">
        <f>AVERAGE(D71:M71)</f>
        <v>93309.946524365761</v>
      </c>
      <c r="O71" s="24"/>
      <c r="P71" s="24"/>
    </row>
    <row r="72" spans="1:16" x14ac:dyDescent="0.25">
      <c r="A72" s="9"/>
      <c r="B72" s="5" t="s">
        <v>34</v>
      </c>
      <c r="C72" s="5" t="s">
        <v>22</v>
      </c>
      <c r="D72" s="23">
        <v>176197.24913297</v>
      </c>
      <c r="E72" s="23">
        <v>162658.054856781</v>
      </c>
      <c r="F72" s="23">
        <v>182604.70957042399</v>
      </c>
      <c r="G72" s="23">
        <v>170339.57224543201</v>
      </c>
      <c r="H72" s="23">
        <v>168590.55948741399</v>
      </c>
      <c r="I72" s="23">
        <v>146578.42321742</v>
      </c>
      <c r="J72" s="23">
        <v>170489.38580648901</v>
      </c>
      <c r="K72" s="23">
        <v>173948.394867947</v>
      </c>
      <c r="L72" s="23">
        <v>154650.57443391299</v>
      </c>
      <c r="M72" s="23">
        <v>184887.327163938</v>
      </c>
      <c r="N72" s="21">
        <f t="shared" ref="N72:N75" si="64">AVERAGE(D72:M72)</f>
        <v>169094.42507827279</v>
      </c>
      <c r="O72" s="24"/>
      <c r="P72" s="24"/>
    </row>
    <row r="73" spans="1:16" x14ac:dyDescent="0.25">
      <c r="A73" s="9"/>
      <c r="B73" s="5"/>
      <c r="C73" s="5" t="s">
        <v>16</v>
      </c>
      <c r="D73" s="14">
        <f>(D72-D71)/D71</f>
        <v>0.71983330256145972</v>
      </c>
      <c r="E73" s="14">
        <f t="shared" ref="E73:M73" si="65">(E72-E71)/E71</f>
        <v>0.91453121201977527</v>
      </c>
      <c r="F73" s="14">
        <f t="shared" si="65"/>
        <v>1.0051966909194161</v>
      </c>
      <c r="G73" s="14">
        <f t="shared" si="65"/>
        <v>0.80808570464470597</v>
      </c>
      <c r="H73" s="14">
        <f t="shared" si="65"/>
        <v>0.68961334509243555</v>
      </c>
      <c r="I73" s="14">
        <f t="shared" si="65"/>
        <v>0.57230652451316544</v>
      </c>
      <c r="J73" s="14">
        <f t="shared" si="65"/>
        <v>0.85836820283564075</v>
      </c>
      <c r="K73" s="14">
        <f t="shared" si="65"/>
        <v>0.99097323571195262</v>
      </c>
      <c r="L73" s="14">
        <f t="shared" si="65"/>
        <v>0.64581276318008074</v>
      </c>
      <c r="M73" s="14">
        <f t="shared" si="65"/>
        <v>0.95995967481909106</v>
      </c>
      <c r="N73" s="17">
        <f>AVERAGE(D73:M73)</f>
        <v>0.81646806562977248</v>
      </c>
      <c r="O73" s="24">
        <f t="shared" si="62"/>
        <v>0.57230652451316544</v>
      </c>
      <c r="P73" s="24">
        <f t="shared" si="63"/>
        <v>1.0051966909194161</v>
      </c>
    </row>
    <row r="74" spans="1:16" x14ac:dyDescent="0.25">
      <c r="A74" s="9"/>
      <c r="B74" s="5" t="s">
        <v>35</v>
      </c>
      <c r="C74" s="5" t="s">
        <v>22</v>
      </c>
      <c r="D74" s="21">
        <v>246443.219570616</v>
      </c>
      <c r="E74" s="21">
        <v>252366.669211064</v>
      </c>
      <c r="F74" s="21">
        <v>255411.837760967</v>
      </c>
      <c r="G74" s="21">
        <v>262745.71153282101</v>
      </c>
      <c r="H74" s="21">
        <v>233164.83875963601</v>
      </c>
      <c r="I74" s="21">
        <v>247941.84320856599</v>
      </c>
      <c r="J74" s="21">
        <v>246833.97018758301</v>
      </c>
      <c r="K74" s="21">
        <v>229561.690616757</v>
      </c>
      <c r="L74" s="21">
        <v>237184.767247301</v>
      </c>
      <c r="M74" s="21">
        <v>242568.82748377099</v>
      </c>
      <c r="N74" s="23">
        <f t="shared" si="64"/>
        <v>245422.33755790821</v>
      </c>
      <c r="O74" s="24"/>
      <c r="P74" s="24"/>
    </row>
    <row r="75" spans="1:16" x14ac:dyDescent="0.25">
      <c r="A75" s="9"/>
      <c r="B75" s="5"/>
      <c r="C75" s="7" t="s">
        <v>16</v>
      </c>
      <c r="D75" s="15">
        <f>(D74-D71)/D71</f>
        <v>1.4054930385896838</v>
      </c>
      <c r="E75" s="15">
        <f t="shared" ref="E75:M75" si="66">(E74-E71)/E71</f>
        <v>1.9704269210859164</v>
      </c>
      <c r="F75" s="15">
        <f t="shared" si="66"/>
        <v>1.8046974971498191</v>
      </c>
      <c r="G75" s="15">
        <f t="shared" si="66"/>
        <v>1.7889395207280447</v>
      </c>
      <c r="H75" s="15">
        <f t="shared" si="66"/>
        <v>1.3367762962078411</v>
      </c>
      <c r="I75" s="15">
        <f t="shared" si="66"/>
        <v>1.659604116483075</v>
      </c>
      <c r="J75" s="15">
        <f t="shared" si="66"/>
        <v>1.6905393517983209</v>
      </c>
      <c r="K75" s="15">
        <f t="shared" si="66"/>
        <v>1.6275102009979538</v>
      </c>
      <c r="L75" s="15">
        <f t="shared" si="66"/>
        <v>1.524153037235038</v>
      </c>
      <c r="M75" s="15">
        <f t="shared" si="66"/>
        <v>1.5714316255693643</v>
      </c>
      <c r="N75" s="20">
        <f t="shared" si="64"/>
        <v>1.6379571605845058</v>
      </c>
      <c r="O75" s="24">
        <f t="shared" si="62"/>
        <v>1.3367762962078411</v>
      </c>
      <c r="P75" s="24">
        <f t="shared" si="63"/>
        <v>1.9704269210859164</v>
      </c>
    </row>
    <row r="76" spans="1:16" x14ac:dyDescent="0.25">
      <c r="A76" s="9" t="s">
        <v>42</v>
      </c>
      <c r="B76" s="5" t="s">
        <v>24</v>
      </c>
      <c r="C76" s="5" t="s">
        <v>22</v>
      </c>
      <c r="D76" s="23">
        <v>71185.2321873084</v>
      </c>
      <c r="E76" s="23">
        <v>72893.138854079603</v>
      </c>
      <c r="F76" s="23">
        <v>68274.543585230596</v>
      </c>
      <c r="G76" s="23">
        <v>65061.621505789903</v>
      </c>
      <c r="H76" s="23">
        <v>66811.448399563204</v>
      </c>
      <c r="I76" s="23">
        <v>67829.453974571705</v>
      </c>
      <c r="J76" s="23">
        <v>70338.282933703595</v>
      </c>
      <c r="K76" s="23">
        <v>69292.750342235406</v>
      </c>
      <c r="L76" s="23">
        <v>66988.788091011302</v>
      </c>
      <c r="M76" s="23">
        <v>69665.4782738965</v>
      </c>
      <c r="N76" s="23">
        <f>AVERAGE(D76:M76)</f>
        <v>68834.073814739037</v>
      </c>
      <c r="O76" s="24"/>
      <c r="P76" s="24"/>
    </row>
    <row r="77" spans="1:16" x14ac:dyDescent="0.25">
      <c r="A77" s="9"/>
      <c r="B77" s="5" t="s">
        <v>34</v>
      </c>
      <c r="C77" s="5" t="s">
        <v>22</v>
      </c>
      <c r="D77" s="23">
        <v>125259.727906898</v>
      </c>
      <c r="E77" s="23">
        <v>130261.60551972</v>
      </c>
      <c r="F77" s="23">
        <v>120583.89291358201</v>
      </c>
      <c r="G77" s="23">
        <v>119024.20963068301</v>
      </c>
      <c r="H77" s="23">
        <v>116001.324308815</v>
      </c>
      <c r="I77" s="23">
        <v>120304.461787576</v>
      </c>
      <c r="J77" s="23">
        <v>123577.28024006</v>
      </c>
      <c r="K77" s="23">
        <v>114270.550565004</v>
      </c>
      <c r="L77" s="23">
        <v>129360.23177003799</v>
      </c>
      <c r="M77" s="23">
        <v>123062.44045274799</v>
      </c>
      <c r="N77" s="23">
        <f t="shared" ref="N77:N80" si="67">AVERAGE(D77:M77)</f>
        <v>122170.57250951239</v>
      </c>
      <c r="O77" s="24"/>
      <c r="P77" s="24"/>
    </row>
    <row r="78" spans="1:16" x14ac:dyDescent="0.25">
      <c r="A78" s="9"/>
      <c r="B78" s="5"/>
      <c r="C78" s="5" t="s">
        <v>16</v>
      </c>
      <c r="D78" s="14">
        <f>(D77-D76)/D76</f>
        <v>0.75963081186986037</v>
      </c>
      <c r="E78" s="14">
        <f t="shared" ref="E78:M78" si="68">(E77-E76)/E76</f>
        <v>0.78702148881917255</v>
      </c>
      <c r="F78" s="14">
        <f t="shared" si="68"/>
        <v>0.76616183106447255</v>
      </c>
      <c r="G78" s="14">
        <f t="shared" si="68"/>
        <v>0.82940736606281651</v>
      </c>
      <c r="H78" s="14">
        <f t="shared" si="68"/>
        <v>0.73624920709806663</v>
      </c>
      <c r="I78" s="14">
        <f t="shared" si="68"/>
        <v>0.77363158241958474</v>
      </c>
      <c r="J78" s="14">
        <f t="shared" si="68"/>
        <v>0.7568993027102483</v>
      </c>
      <c r="K78" s="14">
        <f t="shared" si="68"/>
        <v>0.64909821013921665</v>
      </c>
      <c r="L78" s="14">
        <f t="shared" si="68"/>
        <v>0.931072877364023</v>
      </c>
      <c r="M78" s="14">
        <f t="shared" si="68"/>
        <v>0.76647664671038673</v>
      </c>
      <c r="N78" s="17">
        <f t="shared" si="67"/>
        <v>0.77556493242578473</v>
      </c>
      <c r="O78" s="24">
        <f t="shared" si="62"/>
        <v>0.64909821013921665</v>
      </c>
      <c r="P78" s="24">
        <f t="shared" si="63"/>
        <v>0.931072877364023</v>
      </c>
    </row>
    <row r="79" spans="1:16" x14ac:dyDescent="0.25">
      <c r="A79" s="9"/>
      <c r="B79" s="5" t="s">
        <v>35</v>
      </c>
      <c r="C79" s="5" t="s">
        <v>22</v>
      </c>
      <c r="D79" s="23">
        <v>211697.34650017001</v>
      </c>
      <c r="E79" s="23">
        <v>192568.109200912</v>
      </c>
      <c r="F79" s="23">
        <v>198590.08861616399</v>
      </c>
      <c r="G79" s="23">
        <v>199096.83015320799</v>
      </c>
      <c r="H79" s="23">
        <v>198443.903572118</v>
      </c>
      <c r="I79" s="23">
        <v>198902.66071583901</v>
      </c>
      <c r="J79" s="23">
        <v>185605.409435387</v>
      </c>
      <c r="K79" s="23">
        <v>201127.91678769101</v>
      </c>
      <c r="L79" s="23">
        <v>190946.23742131901</v>
      </c>
      <c r="M79" s="23">
        <v>186313.72350063801</v>
      </c>
      <c r="N79" s="23">
        <f t="shared" si="67"/>
        <v>196329.22259034461</v>
      </c>
      <c r="O79" s="24"/>
      <c r="P79" s="24"/>
    </row>
    <row r="80" spans="1:16" x14ac:dyDescent="0.25">
      <c r="A80" s="9"/>
      <c r="B80" s="5"/>
      <c r="C80" s="7" t="s">
        <v>16</v>
      </c>
      <c r="D80" s="15">
        <f>(D79-D76)/D76</f>
        <v>1.9738941630917863</v>
      </c>
      <c r="E80" s="15">
        <f t="shared" ref="E80:M80" si="69">(E79-E76)/E76</f>
        <v>1.6417864867419489</v>
      </c>
      <c r="F80" s="15">
        <f t="shared" si="69"/>
        <v>1.9086988823038247</v>
      </c>
      <c r="G80" s="15">
        <f t="shared" si="69"/>
        <v>2.0601270848358761</v>
      </c>
      <c r="H80" s="15">
        <f t="shared" si="69"/>
        <v>1.9702080754982612</v>
      </c>
      <c r="I80" s="15">
        <f t="shared" si="69"/>
        <v>1.9323936588138357</v>
      </c>
      <c r="J80" s="15">
        <f t="shared" si="69"/>
        <v>1.6387537723991199</v>
      </c>
      <c r="K80" s="15">
        <f t="shared" si="69"/>
        <v>1.9025823884075108</v>
      </c>
      <c r="L80" s="15">
        <f t="shared" si="69"/>
        <v>1.8504208370197486</v>
      </c>
      <c r="M80" s="15">
        <f t="shared" si="69"/>
        <v>1.6744052881992393</v>
      </c>
      <c r="N80" s="20">
        <f t="shared" si="67"/>
        <v>1.8553270637311154</v>
      </c>
      <c r="O80" s="24">
        <f t="shared" si="62"/>
        <v>1.6387537723991199</v>
      </c>
      <c r="P80" s="24">
        <f t="shared" si="63"/>
        <v>2.0601270848358761</v>
      </c>
    </row>
    <row r="81" spans="1:16" x14ac:dyDescent="0.25">
      <c r="A81" s="9" t="s">
        <v>41</v>
      </c>
      <c r="B81" s="5" t="s">
        <v>24</v>
      </c>
      <c r="C81" s="5" t="s">
        <v>22</v>
      </c>
      <c r="D81" s="23">
        <v>127079.039044384</v>
      </c>
      <c r="E81" s="23">
        <v>145916.496030029</v>
      </c>
      <c r="F81" s="23">
        <v>119346.47539372</v>
      </c>
      <c r="G81" s="23">
        <v>116601.408818187</v>
      </c>
      <c r="H81" s="23">
        <v>106333.64065382</v>
      </c>
      <c r="I81" s="23">
        <v>127829.307118882</v>
      </c>
      <c r="J81" s="23">
        <v>135997.204399574</v>
      </c>
      <c r="K81" s="23">
        <v>103466.490160723</v>
      </c>
      <c r="L81" s="23">
        <v>111854.54012148301</v>
      </c>
      <c r="M81" s="23">
        <v>106365.0408305</v>
      </c>
      <c r="N81" s="23">
        <f>AVERAGE(D81:M81)</f>
        <v>120078.9642571302</v>
      </c>
      <c r="O81" s="24"/>
      <c r="P81" s="24"/>
    </row>
    <row r="82" spans="1:16" x14ac:dyDescent="0.25">
      <c r="A82" s="9"/>
      <c r="B82" s="5" t="s">
        <v>34</v>
      </c>
      <c r="C82" s="5" t="s">
        <v>22</v>
      </c>
      <c r="D82" s="23">
        <v>177489.95096449999</v>
      </c>
      <c r="E82" s="23">
        <v>177290.66670038999</v>
      </c>
      <c r="F82" s="23">
        <v>174647.23211670201</v>
      </c>
      <c r="G82" s="23">
        <v>168957.66966438101</v>
      </c>
      <c r="H82" s="23">
        <v>172998.978215415</v>
      </c>
      <c r="I82" s="23">
        <v>167177.161934642</v>
      </c>
      <c r="J82" s="23">
        <v>169603.55290949499</v>
      </c>
      <c r="K82" s="23">
        <v>167783.75056224901</v>
      </c>
      <c r="L82" s="23">
        <v>152069.810780139</v>
      </c>
      <c r="M82" s="23">
        <v>192427.28690130101</v>
      </c>
      <c r="N82" s="23">
        <f t="shared" ref="N82:N85" si="70">AVERAGE(D82:M82)</f>
        <v>172044.60607492138</v>
      </c>
      <c r="O82" s="24"/>
      <c r="P82" s="24"/>
    </row>
    <row r="83" spans="1:16" x14ac:dyDescent="0.25">
      <c r="A83" s="9"/>
      <c r="B83" s="5"/>
      <c r="C83" s="5" t="s">
        <v>16</v>
      </c>
      <c r="D83" s="14">
        <f>(D82-D81)/D81</f>
        <v>0.39668943280653335</v>
      </c>
      <c r="E83" s="14">
        <f t="shared" ref="E83:M83" si="71">(E82-E81)/E81</f>
        <v>0.21501455643441661</v>
      </c>
      <c r="F83" s="14">
        <f t="shared" si="71"/>
        <v>0.46336313276572832</v>
      </c>
      <c r="G83" s="14">
        <f t="shared" si="71"/>
        <v>0.44901911029078151</v>
      </c>
      <c r="H83" s="14">
        <f t="shared" si="71"/>
        <v>0.62694493625616377</v>
      </c>
      <c r="I83" s="14">
        <f t="shared" si="71"/>
        <v>0.30781559958833438</v>
      </c>
      <c r="J83" s="14">
        <f t="shared" si="71"/>
        <v>0.24711058332627214</v>
      </c>
      <c r="K83" s="14">
        <f t="shared" si="71"/>
        <v>0.62162406689950278</v>
      </c>
      <c r="L83" s="14">
        <f t="shared" si="71"/>
        <v>0.35953185820601458</v>
      </c>
      <c r="M83" s="14">
        <f t="shared" si="71"/>
        <v>0.80912154406020587</v>
      </c>
      <c r="N83" s="17">
        <f t="shared" si="70"/>
        <v>0.44962348206339531</v>
      </c>
      <c r="O83" s="24">
        <f t="shared" si="62"/>
        <v>0.21501455643441661</v>
      </c>
      <c r="P83" s="24">
        <f t="shared" si="63"/>
        <v>0.80912154406020587</v>
      </c>
    </row>
    <row r="84" spans="1:16" x14ac:dyDescent="0.25">
      <c r="A84" s="9"/>
      <c r="B84" s="5" t="s">
        <v>35</v>
      </c>
      <c r="C84" s="5" t="s">
        <v>22</v>
      </c>
      <c r="D84" s="23">
        <v>258416.236745289</v>
      </c>
      <c r="E84" s="23">
        <v>268272.97273293498</v>
      </c>
      <c r="F84" s="23">
        <v>234244.82370332701</v>
      </c>
      <c r="G84" s="23">
        <v>237864.37120708101</v>
      </c>
      <c r="H84" s="23">
        <v>233027.250643348</v>
      </c>
      <c r="I84" s="23">
        <v>240406.205308351</v>
      </c>
      <c r="J84" s="23">
        <v>237240.30969471499</v>
      </c>
      <c r="K84" s="23">
        <v>236251.02825203101</v>
      </c>
      <c r="L84" s="23">
        <v>247293.23620215501</v>
      </c>
      <c r="M84" s="23">
        <v>226238.97285814601</v>
      </c>
      <c r="N84" s="23">
        <f t="shared" si="70"/>
        <v>241925.54073473779</v>
      </c>
      <c r="O84" s="24"/>
      <c r="P84" s="24"/>
    </row>
    <row r="85" spans="1:16" x14ac:dyDescent="0.25">
      <c r="A85" s="10"/>
      <c r="B85" s="7"/>
      <c r="C85" s="7" t="s">
        <v>16</v>
      </c>
      <c r="D85" s="15">
        <f>(D84-D81)/D81</f>
        <v>1.0335079544867647</v>
      </c>
      <c r="E85" s="15">
        <f t="shared" ref="E85:M85" si="72">(E84-E81)/E81</f>
        <v>0.83853765702902805</v>
      </c>
      <c r="F85" s="15">
        <f t="shared" si="72"/>
        <v>0.96272929661777806</v>
      </c>
      <c r="G85" s="15">
        <f t="shared" si="72"/>
        <v>1.0399785355764923</v>
      </c>
      <c r="H85" s="15">
        <f t="shared" si="72"/>
        <v>1.1914725124666046</v>
      </c>
      <c r="I85" s="15">
        <f t="shared" si="72"/>
        <v>0.88068143938832288</v>
      </c>
      <c r="J85" s="15">
        <f t="shared" si="72"/>
        <v>0.7444499005852957</v>
      </c>
      <c r="K85" s="15">
        <f t="shared" si="72"/>
        <v>1.2833579053956783</v>
      </c>
      <c r="L85" s="15">
        <f t="shared" si="72"/>
        <v>1.2108466579324784</v>
      </c>
      <c r="M85" s="15">
        <f t="shared" si="72"/>
        <v>1.1270049923515129</v>
      </c>
      <c r="N85" s="20">
        <f t="shared" si="70"/>
        <v>1.0312566851829954</v>
      </c>
      <c r="O85" s="24">
        <f t="shared" si="62"/>
        <v>0.7444499005852957</v>
      </c>
      <c r="P85" s="24">
        <f t="shared" si="63"/>
        <v>1.2833579053956783</v>
      </c>
    </row>
    <row r="87" spans="1:16" x14ac:dyDescent="0.25"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90" spans="1:16" x14ac:dyDescent="0.25">
      <c r="B90" s="30" t="s">
        <v>27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 spans="1:16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spans="1:16" x14ac:dyDescent="0.25">
      <c r="A92" s="8"/>
      <c r="B92" s="12"/>
      <c r="C92" s="12"/>
      <c r="D92" s="12">
        <v>0</v>
      </c>
      <c r="E92" s="12">
        <v>10</v>
      </c>
      <c r="F92" s="12">
        <v>20</v>
      </c>
      <c r="G92" s="12">
        <v>30</v>
      </c>
      <c r="H92" s="12">
        <v>40</v>
      </c>
      <c r="I92" s="12">
        <v>50</v>
      </c>
      <c r="J92" s="12">
        <v>60</v>
      </c>
      <c r="K92" s="12">
        <v>70</v>
      </c>
      <c r="L92" s="12">
        <v>80</v>
      </c>
      <c r="M92" s="12">
        <v>90</v>
      </c>
      <c r="N92" s="18" t="s">
        <v>21</v>
      </c>
    </row>
    <row r="93" spans="1:16" x14ac:dyDescent="0.25">
      <c r="A93" s="1" t="s">
        <v>28</v>
      </c>
      <c r="B93" s="5" t="s">
        <v>24</v>
      </c>
      <c r="C93" s="5" t="s">
        <v>22</v>
      </c>
      <c r="D93" s="23">
        <v>85290.925036580098</v>
      </c>
      <c r="E93" s="23">
        <v>82830.376777578596</v>
      </c>
      <c r="F93" s="23">
        <v>83391.564576464007</v>
      </c>
      <c r="G93" s="23">
        <v>81152.975616986107</v>
      </c>
      <c r="H93" s="23">
        <v>80189.928040129802</v>
      </c>
      <c r="I93" s="23">
        <v>78187.377734554699</v>
      </c>
      <c r="J93" s="23">
        <v>76324.069328258207</v>
      </c>
      <c r="K93" s="23">
        <v>72973.322389581197</v>
      </c>
      <c r="L93" s="23">
        <v>72039.090986281299</v>
      </c>
      <c r="M93" s="23">
        <v>71478.188428269394</v>
      </c>
      <c r="N93" s="21">
        <f>AVERAGE(D93:M93)</f>
        <v>78385.78189146833</v>
      </c>
    </row>
    <row r="94" spans="1:16" x14ac:dyDescent="0.25">
      <c r="B94" s="5" t="s">
        <v>25</v>
      </c>
      <c r="C94" s="5" t="s">
        <v>22</v>
      </c>
      <c r="D94" s="21">
        <v>116534.171237872</v>
      </c>
      <c r="E94" s="21">
        <v>116825.037085729</v>
      </c>
      <c r="F94" s="21">
        <v>110472.621902723</v>
      </c>
      <c r="G94" s="21">
        <v>112103.027025469</v>
      </c>
      <c r="H94" s="21">
        <v>109935.33795606199</v>
      </c>
      <c r="I94" s="21">
        <v>107405.536904882</v>
      </c>
      <c r="J94" s="21">
        <v>106786.396915586</v>
      </c>
      <c r="K94" s="21">
        <v>103833.549294653</v>
      </c>
      <c r="L94" s="21">
        <v>104312.762939097</v>
      </c>
      <c r="M94" s="21">
        <v>101563.440082145</v>
      </c>
      <c r="N94" s="21">
        <f>AVERAGE(D94:M94)</f>
        <v>108977.18813442178</v>
      </c>
    </row>
    <row r="95" spans="1:16" x14ac:dyDescent="0.25">
      <c r="B95" s="5"/>
      <c r="C95" s="5" t="s">
        <v>16</v>
      </c>
      <c r="D95" s="14">
        <f t="shared" ref="D95:M95" si="73">(D94-D93)/D93</f>
        <v>0.36631383922606187</v>
      </c>
      <c r="E95" s="14">
        <f t="shared" si="73"/>
        <v>0.41041296237774005</v>
      </c>
      <c r="F95" s="14">
        <f t="shared" si="73"/>
        <v>0.32474576372083325</v>
      </c>
      <c r="G95" s="14">
        <f t="shared" si="73"/>
        <v>0.38137913210424218</v>
      </c>
      <c r="H95" s="14">
        <f t="shared" si="73"/>
        <v>0.37093698227346661</v>
      </c>
      <c r="I95" s="14">
        <f t="shared" si="73"/>
        <v>0.3736940669569791</v>
      </c>
      <c r="J95" s="14">
        <f t="shared" si="73"/>
        <v>0.39911823171159749</v>
      </c>
      <c r="K95" s="14">
        <f t="shared" si="73"/>
        <v>0.42289738077593525</v>
      </c>
      <c r="L95" s="14">
        <f t="shared" si="73"/>
        <v>0.44800220978581901</v>
      </c>
      <c r="M95" s="14">
        <f t="shared" si="73"/>
        <v>0.42090114922354388</v>
      </c>
      <c r="N95" s="17">
        <f t="shared" ref="N95:N97" si="74">AVERAGE(D95:M95)</f>
        <v>0.39184017181562186</v>
      </c>
    </row>
    <row r="96" spans="1:16" x14ac:dyDescent="0.25">
      <c r="B96" s="5" t="s">
        <v>26</v>
      </c>
      <c r="C96" s="5" t="s">
        <v>22</v>
      </c>
      <c r="D96" s="21">
        <v>89986.405534452395</v>
      </c>
      <c r="E96" s="21">
        <v>87969.117372635897</v>
      </c>
      <c r="F96" s="21">
        <v>86291.300893663807</v>
      </c>
      <c r="G96" s="21">
        <v>87273.624196273799</v>
      </c>
      <c r="H96" s="21">
        <v>81675.469346919999</v>
      </c>
      <c r="I96" s="21">
        <v>80896.0499591814</v>
      </c>
      <c r="J96" s="21">
        <v>79545.347077325903</v>
      </c>
      <c r="K96" s="21">
        <v>78710.522087535501</v>
      </c>
      <c r="L96" s="21">
        <v>74584.256833703999</v>
      </c>
      <c r="M96" s="21">
        <v>73229.615683178301</v>
      </c>
      <c r="N96" s="21">
        <f t="shared" si="74"/>
        <v>82016.170898487078</v>
      </c>
    </row>
    <row r="97" spans="1:14" x14ac:dyDescent="0.25">
      <c r="B97" s="5"/>
      <c r="C97" s="7" t="s">
        <v>16</v>
      </c>
      <c r="D97" s="15">
        <f t="shared" ref="D97" si="75">(D96-D93)/D93</f>
        <v>5.5052521658763461E-2</v>
      </c>
      <c r="E97" s="15">
        <f t="shared" ref="E97" si="76">(E96-E93)/E93</f>
        <v>6.2039324158287661E-2</v>
      </c>
      <c r="F97" s="15">
        <f t="shared" ref="F97" si="77">(F96-F93)/F93</f>
        <v>3.477253762928207E-2</v>
      </c>
      <c r="G97" s="15">
        <f t="shared" ref="G97" si="78">(G96-G93)/G93</f>
        <v>7.5421123289120415E-2</v>
      </c>
      <c r="H97" s="15">
        <f t="shared" ref="H97" si="79">(H96-H93)/H93</f>
        <v>1.852528544540882E-2</v>
      </c>
      <c r="I97" s="15">
        <f t="shared" ref="I97" si="80">(I96-I93)/I93</f>
        <v>3.4643344016762077E-2</v>
      </c>
      <c r="J97" s="20">
        <f t="shared" ref="J97" si="81">(J96-J93)/J93</f>
        <v>4.2205267321550569E-2</v>
      </c>
      <c r="K97" s="15">
        <f t="shared" ref="K97" si="82">(K96-K93)/K93</f>
        <v>7.8620508291033148E-2</v>
      </c>
      <c r="L97" s="15">
        <f t="shared" ref="L97" si="83">(L96-L93)/L93</f>
        <v>3.5330343742224442E-2</v>
      </c>
      <c r="M97" s="15">
        <f t="shared" ref="M97" si="84">(M96-M93)/M93</f>
        <v>2.4502960881087797E-2</v>
      </c>
      <c r="N97" s="20">
        <f t="shared" si="74"/>
        <v>4.6111321643352035E-2</v>
      </c>
    </row>
    <row r="98" spans="1:14" x14ac:dyDescent="0.25">
      <c r="A98" s="1" t="s">
        <v>30</v>
      </c>
      <c r="B98" s="5" t="s">
        <v>24</v>
      </c>
      <c r="C98" s="5" t="s">
        <v>22</v>
      </c>
      <c r="D98" s="23">
        <v>180841.01248928599</v>
      </c>
      <c r="E98" s="23">
        <v>178175.829732418</v>
      </c>
      <c r="F98" s="23">
        <v>175656.90881851001</v>
      </c>
      <c r="G98" s="23">
        <v>175036.783892262</v>
      </c>
      <c r="H98" s="23">
        <v>174517.130570209</v>
      </c>
      <c r="I98" s="23">
        <v>174210.31562913099</v>
      </c>
      <c r="J98" s="23">
        <v>171697.193734575</v>
      </c>
      <c r="K98" s="23">
        <v>167743.86641916999</v>
      </c>
      <c r="L98" s="23">
        <v>166938.093252583</v>
      </c>
      <c r="M98" s="23">
        <v>164845.63617870299</v>
      </c>
      <c r="N98" s="21">
        <f>AVERAGE(D98:M98)</f>
        <v>172966.27707168472</v>
      </c>
    </row>
    <row r="99" spans="1:14" x14ac:dyDescent="0.25">
      <c r="B99" s="5" t="s">
        <v>25</v>
      </c>
      <c r="C99" s="5" t="s">
        <v>22</v>
      </c>
      <c r="D99" s="21">
        <v>234855.98486964399</v>
      </c>
      <c r="E99" s="21">
        <v>230848.22555446799</v>
      </c>
      <c r="F99" s="21">
        <v>231298.461407305</v>
      </c>
      <c r="G99" s="21">
        <v>229157.85818760001</v>
      </c>
      <c r="H99" s="21">
        <v>228518.19956285201</v>
      </c>
      <c r="I99" s="21">
        <v>227510.704365977</v>
      </c>
      <c r="J99" s="21">
        <v>223430.59469379199</v>
      </c>
      <c r="K99" s="21">
        <v>222876.37945437201</v>
      </c>
      <c r="L99" s="21">
        <v>223254.21195229699</v>
      </c>
      <c r="M99" s="21">
        <v>222239.75128479299</v>
      </c>
      <c r="N99" s="21">
        <f t="shared" ref="N99:N102" si="85">AVERAGE(D99:M99)</f>
        <v>227399.03713330999</v>
      </c>
    </row>
    <row r="100" spans="1:14" x14ac:dyDescent="0.25">
      <c r="B100" s="5"/>
      <c r="C100" s="5" t="s">
        <v>16</v>
      </c>
      <c r="D100" s="14">
        <f>(D99-D98)/D98</f>
        <v>0.29868762421111827</v>
      </c>
      <c r="E100" s="14">
        <f t="shared" ref="E100:M100" si="86">(E99-E98)/E98</f>
        <v>0.2956203201138598</v>
      </c>
      <c r="F100" s="14">
        <f t="shared" si="86"/>
        <v>0.31676267653260509</v>
      </c>
      <c r="G100" s="14">
        <f t="shared" si="86"/>
        <v>0.30919829016425721</v>
      </c>
      <c r="H100" s="14">
        <f t="shared" si="86"/>
        <v>0.30943133671865031</v>
      </c>
      <c r="I100" s="14">
        <f t="shared" si="86"/>
        <v>0.30595426306622947</v>
      </c>
      <c r="J100" s="14">
        <f t="shared" si="86"/>
        <v>0.30130603671479422</v>
      </c>
      <c r="K100" s="14">
        <f t="shared" si="86"/>
        <v>0.32867081349748478</v>
      </c>
      <c r="L100" s="14">
        <f t="shared" si="86"/>
        <v>0.33734732200700168</v>
      </c>
      <c r="M100" s="14">
        <f t="shared" si="86"/>
        <v>0.34816884715025875</v>
      </c>
      <c r="N100" s="17">
        <f t="shared" si="85"/>
        <v>0.31511475301762598</v>
      </c>
    </row>
    <row r="101" spans="1:14" x14ac:dyDescent="0.25">
      <c r="B101" s="5" t="s">
        <v>26</v>
      </c>
      <c r="C101" s="5" t="s">
        <v>22</v>
      </c>
      <c r="D101" s="21">
        <v>247572.51286082901</v>
      </c>
      <c r="E101" s="21">
        <v>246581.523708972</v>
      </c>
      <c r="F101" s="21">
        <v>242771.66037399601</v>
      </c>
      <c r="G101" s="21">
        <v>242600.87439415199</v>
      </c>
      <c r="H101" s="21">
        <v>242375.08673135101</v>
      </c>
      <c r="I101" s="21">
        <v>238820.635191009</v>
      </c>
      <c r="J101" s="21">
        <v>242495.46346529201</v>
      </c>
      <c r="K101" s="21">
        <v>235911.61794161799</v>
      </c>
      <c r="L101" s="21">
        <v>234523.04913959201</v>
      </c>
      <c r="M101" s="21">
        <v>234516.69790189501</v>
      </c>
      <c r="N101" s="21">
        <f t="shared" si="85"/>
        <v>240816.91217087055</v>
      </c>
    </row>
    <row r="102" spans="1:14" x14ac:dyDescent="0.25">
      <c r="A102" s="2"/>
      <c r="B102" s="7"/>
      <c r="C102" s="7" t="s">
        <v>16</v>
      </c>
      <c r="D102" s="15">
        <f>(D101-D98)/D98</f>
        <v>0.36900645187162157</v>
      </c>
      <c r="E102" s="15">
        <f t="shared" ref="E102:M102" si="87">(E101-E98)/E98</f>
        <v>0.38392241012310552</v>
      </c>
      <c r="F102" s="15">
        <f t="shared" si="87"/>
        <v>0.38207863275579695</v>
      </c>
      <c r="G102" s="15">
        <f t="shared" si="87"/>
        <v>0.38599938252679961</v>
      </c>
      <c r="H102" s="15">
        <f t="shared" si="87"/>
        <v>0.38883263745757302</v>
      </c>
      <c r="I102" s="15">
        <f t="shared" si="87"/>
        <v>0.37087539465472419</v>
      </c>
      <c r="J102" s="15">
        <f t="shared" si="87"/>
        <v>0.41234377913108672</v>
      </c>
      <c r="K102" s="15">
        <f t="shared" si="87"/>
        <v>0.40637999455733126</v>
      </c>
      <c r="L102" s="15">
        <f t="shared" si="87"/>
        <v>0.40485041233069963</v>
      </c>
      <c r="M102" s="15">
        <f t="shared" si="87"/>
        <v>0.42264425882444484</v>
      </c>
      <c r="N102" s="20">
        <f t="shared" si="85"/>
        <v>0.3926933354233183</v>
      </c>
    </row>
    <row r="104" spans="1:14" x14ac:dyDescent="0.25">
      <c r="D104" s="16"/>
      <c r="E104" s="16"/>
      <c r="F104" s="16" t="s">
        <v>44</v>
      </c>
      <c r="G104" s="16" t="s">
        <v>45</v>
      </c>
      <c r="H104" s="16"/>
      <c r="I104" s="16"/>
      <c r="J104" s="16"/>
      <c r="K104" s="16"/>
      <c r="L104" s="16"/>
      <c r="M104" s="16"/>
      <c r="N104" s="16"/>
    </row>
    <row r="105" spans="1:14" x14ac:dyDescent="0.25">
      <c r="F105" s="1" t="s">
        <v>43</v>
      </c>
    </row>
    <row r="106" spans="1:14" x14ac:dyDescent="0.25">
      <c r="C106" s="11">
        <v>3151264.0864799502</v>
      </c>
      <c r="E106" s="11">
        <v>2762715.7514905799</v>
      </c>
      <c r="F106" s="11">
        <v>2446729.1828123098</v>
      </c>
      <c r="G106" s="11">
        <v>2817751.4219988398</v>
      </c>
    </row>
    <row r="107" spans="1:14" x14ac:dyDescent="0.25">
      <c r="C107" s="11">
        <v>2895606.9740369502</v>
      </c>
      <c r="E107" s="11">
        <v>2540618.86954168</v>
      </c>
      <c r="F107" s="11">
        <v>2844803.5458325902</v>
      </c>
      <c r="G107" s="11">
        <v>3125345.3424512199</v>
      </c>
    </row>
    <row r="108" spans="1:14" x14ac:dyDescent="0.25">
      <c r="C108" s="11">
        <v>4379346.70625747</v>
      </c>
      <c r="E108" s="11">
        <v>3867052.83858898</v>
      </c>
      <c r="F108" s="11">
        <v>3632197.4916682802</v>
      </c>
      <c r="G108" s="11">
        <v>4073532.13450045</v>
      </c>
    </row>
    <row r="110" spans="1:14" x14ac:dyDescent="0.25">
      <c r="F110" s="31" t="s">
        <v>50</v>
      </c>
      <c r="G110" s="31"/>
      <c r="H110" s="31"/>
      <c r="I110" s="31"/>
    </row>
    <row r="111" spans="1:14" x14ac:dyDescent="0.25">
      <c r="A111" s="18" t="s">
        <v>48</v>
      </c>
      <c r="B111" s="12"/>
      <c r="C111" s="12"/>
      <c r="D111" s="12">
        <v>0</v>
      </c>
      <c r="E111" s="12">
        <v>10</v>
      </c>
      <c r="F111" s="12">
        <v>20</v>
      </c>
      <c r="G111" s="12">
        <v>30</v>
      </c>
      <c r="H111" s="12">
        <v>40</v>
      </c>
      <c r="I111" s="12">
        <v>50</v>
      </c>
      <c r="J111" s="12">
        <v>60</v>
      </c>
      <c r="K111" s="12">
        <v>70</v>
      </c>
      <c r="L111" s="12">
        <v>80</v>
      </c>
      <c r="M111" s="12">
        <v>90</v>
      </c>
      <c r="N111" s="18" t="s">
        <v>21</v>
      </c>
    </row>
    <row r="112" spans="1:14" x14ac:dyDescent="0.25">
      <c r="A112" s="9" t="s">
        <v>49</v>
      </c>
      <c r="B112" s="5" t="s">
        <v>24</v>
      </c>
      <c r="C112" s="5" t="s">
        <v>22</v>
      </c>
      <c r="D112" s="23">
        <v>2884871.2933989898</v>
      </c>
      <c r="E112" s="23">
        <v>2844529.1241107499</v>
      </c>
      <c r="F112" s="23">
        <v>2851622.6637611599</v>
      </c>
      <c r="G112" s="23">
        <v>2848957.8330839002</v>
      </c>
      <c r="H112" s="23">
        <v>2814602.7531504701</v>
      </c>
      <c r="I112" s="23">
        <v>2779521.0675591798</v>
      </c>
      <c r="J112" s="23">
        <v>2841577.3195959199</v>
      </c>
      <c r="K112" s="23">
        <v>2753457.91207411</v>
      </c>
      <c r="L112" s="23">
        <v>2752833.6172104501</v>
      </c>
      <c r="M112" s="23">
        <v>2805540.6360434899</v>
      </c>
      <c r="N112" s="21">
        <f>AVERAGE(D112:M112)</f>
        <v>2817751.4219988426</v>
      </c>
    </row>
    <row r="113" spans="1:14" x14ac:dyDescent="0.25">
      <c r="A113" s="9"/>
      <c r="B113" s="5" t="s">
        <v>47</v>
      </c>
      <c r="C113" s="5" t="s">
        <v>22</v>
      </c>
      <c r="D113" s="23">
        <v>3147938.98864982</v>
      </c>
      <c r="E113" s="23">
        <v>3151886.85671166</v>
      </c>
      <c r="F113" s="23">
        <v>3143122.8043635199</v>
      </c>
      <c r="G113" s="23">
        <v>3117090.61987059</v>
      </c>
      <c r="H113" s="23">
        <v>3110487.37592994</v>
      </c>
      <c r="I113" s="23">
        <v>3121697.6736317901</v>
      </c>
      <c r="J113" s="23">
        <v>3114424.7722250801</v>
      </c>
      <c r="K113" s="23">
        <v>3120496.1322574099</v>
      </c>
      <c r="L113" s="23">
        <v>3120709.8930487302</v>
      </c>
      <c r="M113" s="23">
        <v>3105598.3078237702</v>
      </c>
      <c r="N113" s="21">
        <f>AVERAGE(D113:M113)</f>
        <v>3125345.3424512306</v>
      </c>
    </row>
    <row r="114" spans="1:14" x14ac:dyDescent="0.25">
      <c r="A114" s="9"/>
      <c r="B114" s="5"/>
      <c r="C114" s="5" t="s">
        <v>16</v>
      </c>
      <c r="D114" s="14">
        <f t="shared" ref="D114" si="88">(D113-D112)/D112</f>
        <v>9.118871120967087E-2</v>
      </c>
      <c r="E114" s="14">
        <f t="shared" ref="E114" si="89">(E113-E112)/E112</f>
        <v>0.10805223613134761</v>
      </c>
      <c r="F114" s="14">
        <f t="shared" ref="F114" si="90">(F113-F112)/F112</f>
        <v>0.10222255009640184</v>
      </c>
      <c r="G114" s="14">
        <f t="shared" ref="G114" si="91">(G113-G112)/G112</f>
        <v>9.4116095251731133E-2</v>
      </c>
      <c r="H114" s="14">
        <f t="shared" ref="H114" si="92">(H113-H112)/H112</f>
        <v>0.10512482532331688</v>
      </c>
      <c r="I114" s="14">
        <f t="shared" ref="I114" si="93">(I113-I112)/I112</f>
        <v>0.12310631859073859</v>
      </c>
      <c r="J114" s="14">
        <f t="shared" ref="J114" si="94">(J113-J112)/J112</f>
        <v>9.6019717903702784E-2</v>
      </c>
      <c r="K114" s="14">
        <f t="shared" ref="K114" si="95">(K113-K112)/K112</f>
        <v>0.13330082823267825</v>
      </c>
      <c r="L114" s="14">
        <f t="shared" ref="L114" si="96">(L113-L112)/L112</f>
        <v>0.13363549236624878</v>
      </c>
      <c r="M114" s="14">
        <f t="shared" ref="M114" si="97">(M113-M112)/M112</f>
        <v>0.1069518181007124</v>
      </c>
      <c r="N114" s="17">
        <f t="shared" ref="N114:N116" si="98">AVERAGE(D114:M114)</f>
        <v>0.10937185932065492</v>
      </c>
    </row>
    <row r="115" spans="1:14" x14ac:dyDescent="0.25">
      <c r="A115" s="9"/>
      <c r="B115" s="5" t="s">
        <v>35</v>
      </c>
      <c r="C115" s="5" t="s">
        <v>22</v>
      </c>
      <c r="D115" s="23">
        <v>4040165.4582981402</v>
      </c>
      <c r="E115" s="23">
        <v>4043436.4273790098</v>
      </c>
      <c r="F115" s="23">
        <v>4136170.0460445001</v>
      </c>
      <c r="G115" s="23">
        <v>4124112.5134093799</v>
      </c>
      <c r="H115" s="23">
        <v>4085776.5926694199</v>
      </c>
      <c r="I115" s="23">
        <v>4135238.0202941699</v>
      </c>
      <c r="J115" s="23">
        <v>4009381.5196941602</v>
      </c>
      <c r="K115" s="23">
        <v>3993130.45157335</v>
      </c>
      <c r="L115" s="23">
        <v>4077127.9325670102</v>
      </c>
      <c r="M115" s="23">
        <v>4090782.3830753998</v>
      </c>
      <c r="N115" s="21">
        <f t="shared" si="98"/>
        <v>4073532.1345004542</v>
      </c>
    </row>
    <row r="116" spans="1:14" x14ac:dyDescent="0.25">
      <c r="A116" s="9"/>
      <c r="B116" s="5"/>
      <c r="C116" s="7" t="s">
        <v>16</v>
      </c>
      <c r="D116" s="15">
        <f t="shared" ref="D116:M116" si="99">(D115-D112)/D112</f>
        <v>0.4004664497659336</v>
      </c>
      <c r="E116" s="15">
        <f t="shared" si="99"/>
        <v>0.42147830131395103</v>
      </c>
      <c r="F116" s="15">
        <f t="shared" si="99"/>
        <v>0.45046190669177844</v>
      </c>
      <c r="G116" s="15">
        <f t="shared" si="99"/>
        <v>0.44758636492178899</v>
      </c>
      <c r="H116" s="15">
        <f t="shared" si="99"/>
        <v>0.45163525762066653</v>
      </c>
      <c r="I116" s="15">
        <f t="shared" si="99"/>
        <v>0.48775199747829395</v>
      </c>
      <c r="J116" s="20">
        <f t="shared" si="99"/>
        <v>0.41097041141372331</v>
      </c>
      <c r="K116" s="15">
        <f t="shared" si="99"/>
        <v>0.45022389267807117</v>
      </c>
      <c r="L116" s="15">
        <f t="shared" si="99"/>
        <v>0.48106587593133121</v>
      </c>
      <c r="M116" s="15">
        <f t="shared" si="99"/>
        <v>0.458108405388995</v>
      </c>
      <c r="N116" s="20">
        <f t="shared" si="98"/>
        <v>0.44597488632045329</v>
      </c>
    </row>
    <row r="117" spans="1:14" x14ac:dyDescent="0.25">
      <c r="A117" s="9" t="s">
        <v>46</v>
      </c>
      <c r="B117" s="5" t="s">
        <v>24</v>
      </c>
      <c r="C117" s="5" t="s">
        <v>22</v>
      </c>
      <c r="D117" s="21">
        <v>2500124.0492063402</v>
      </c>
      <c r="E117" s="21">
        <v>2440428.8495364301</v>
      </c>
      <c r="F117" s="21">
        <v>2453967.51955785</v>
      </c>
      <c r="G117" s="21">
        <v>2477150.2725165999</v>
      </c>
      <c r="H117" s="21">
        <v>2437402.97120413</v>
      </c>
      <c r="I117" s="21">
        <v>2445976.8739047102</v>
      </c>
      <c r="J117" s="21">
        <v>2432274.5426312601</v>
      </c>
      <c r="K117" s="21">
        <v>2404335.1661813501</v>
      </c>
      <c r="L117" s="21">
        <v>2432576.0899567902</v>
      </c>
      <c r="M117" s="21">
        <v>2443055.4934277101</v>
      </c>
      <c r="N117" s="21">
        <f>AVERAGE(D117:M117)</f>
        <v>2446729.1828123173</v>
      </c>
    </row>
    <row r="118" spans="1:14" x14ac:dyDescent="0.25">
      <c r="A118" s="9"/>
      <c r="B118" s="5" t="s">
        <v>47</v>
      </c>
      <c r="C118" s="5" t="s">
        <v>22</v>
      </c>
      <c r="D118" s="21">
        <v>2871563.94801762</v>
      </c>
      <c r="E118" s="21">
        <v>2871911.4649044098</v>
      </c>
      <c r="F118" s="21">
        <v>2917171.92703029</v>
      </c>
      <c r="G118" s="21">
        <v>2808229.8826164901</v>
      </c>
      <c r="H118" s="21">
        <v>2815412.4393163798</v>
      </c>
      <c r="I118" s="21">
        <v>2868381.51492</v>
      </c>
      <c r="J118" s="21">
        <v>2847432.0626430898</v>
      </c>
      <c r="K118" s="21">
        <v>2835044.2952896398</v>
      </c>
      <c r="L118" s="21">
        <v>2821208.1619651401</v>
      </c>
      <c r="M118" s="21">
        <v>2791679.7616228699</v>
      </c>
      <c r="N118" s="21">
        <f t="shared" ref="N118:N121" si="100">AVERAGE(D118:M118)</f>
        <v>2844803.5458325925</v>
      </c>
    </row>
    <row r="119" spans="1:14" x14ac:dyDescent="0.25">
      <c r="A119" s="9"/>
      <c r="B119" s="5"/>
      <c r="C119" s="5" t="s">
        <v>16</v>
      </c>
      <c r="D119" s="14">
        <f>(D118-D117)/D117</f>
        <v>0.14856858759836045</v>
      </c>
      <c r="E119" s="14">
        <f t="shared" ref="E119:M119" si="101">(E118-E117)/E117</f>
        <v>0.17680606236479368</v>
      </c>
      <c r="F119" s="14">
        <f t="shared" si="101"/>
        <v>0.18875735060906557</v>
      </c>
      <c r="G119" s="14">
        <f t="shared" si="101"/>
        <v>0.13365342174560046</v>
      </c>
      <c r="H119" s="14">
        <f t="shared" si="101"/>
        <v>0.15508698092933931</v>
      </c>
      <c r="I119" s="14">
        <f t="shared" si="101"/>
        <v>0.17269363644512764</v>
      </c>
      <c r="J119" s="14">
        <f t="shared" si="101"/>
        <v>0.17068694867097853</v>
      </c>
      <c r="K119" s="14">
        <f t="shared" si="101"/>
        <v>0.17913855570825307</v>
      </c>
      <c r="L119" s="14">
        <f t="shared" si="101"/>
        <v>0.15976152754804607</v>
      </c>
      <c r="M119" s="14">
        <f t="shared" si="101"/>
        <v>0.14270010203739791</v>
      </c>
      <c r="N119" s="17">
        <f t="shared" si="100"/>
        <v>0.16278531736569629</v>
      </c>
    </row>
    <row r="120" spans="1:14" x14ac:dyDescent="0.25">
      <c r="A120" s="9"/>
      <c r="B120" s="5" t="s">
        <v>35</v>
      </c>
      <c r="C120" s="5" t="s">
        <v>22</v>
      </c>
      <c r="D120" s="23">
        <v>3611905.7183635002</v>
      </c>
      <c r="E120" s="23">
        <v>3686910.5038389098</v>
      </c>
      <c r="F120" s="23">
        <v>3597393.76792996</v>
      </c>
      <c r="G120" s="23">
        <v>3610652.4702059901</v>
      </c>
      <c r="H120" s="23">
        <v>3671063.6025044401</v>
      </c>
      <c r="I120" s="23">
        <v>3602161.8468565098</v>
      </c>
      <c r="J120" s="23">
        <v>3636028.9600324002</v>
      </c>
      <c r="K120" s="23">
        <v>3664229.4704998299</v>
      </c>
      <c r="L120" s="23">
        <v>3619580.0340310498</v>
      </c>
      <c r="M120" s="23">
        <v>3622048.5424202401</v>
      </c>
      <c r="N120" s="21">
        <f t="shared" si="100"/>
        <v>3632197.4916682825</v>
      </c>
    </row>
    <row r="121" spans="1:14" x14ac:dyDescent="0.25">
      <c r="A121" s="10"/>
      <c r="B121" s="7"/>
      <c r="C121" s="7" t="s">
        <v>16</v>
      </c>
      <c r="D121" s="15">
        <f>(D120-D117)/D117</f>
        <v>0.44469060225635326</v>
      </c>
      <c r="E121" s="15">
        <f t="shared" ref="E121:M121" si="102">(E120-E117)/E117</f>
        <v>0.51076336625804686</v>
      </c>
      <c r="F121" s="15">
        <f t="shared" si="102"/>
        <v>0.46595003367368526</v>
      </c>
      <c r="G121" s="15">
        <f t="shared" si="102"/>
        <v>0.4575831390874146</v>
      </c>
      <c r="H121" s="15">
        <f t="shared" si="102"/>
        <v>0.50613732972141856</v>
      </c>
      <c r="I121" s="15">
        <f t="shared" si="102"/>
        <v>0.47268843188451259</v>
      </c>
      <c r="J121" s="15">
        <f t="shared" si="102"/>
        <v>0.49490894070654784</v>
      </c>
      <c r="K121" s="15">
        <f t="shared" si="102"/>
        <v>0.5240094318129066</v>
      </c>
      <c r="L121" s="15">
        <f t="shared" si="102"/>
        <v>0.48796169171232145</v>
      </c>
      <c r="M121" s="15">
        <f t="shared" si="102"/>
        <v>0.48258954909712382</v>
      </c>
      <c r="N121" s="20">
        <f t="shared" si="100"/>
        <v>0.48472825162103311</v>
      </c>
    </row>
  </sheetData>
  <mergeCells count="11">
    <mergeCell ref="F110:I110"/>
    <mergeCell ref="L59:M59"/>
    <mergeCell ref="J59:K59"/>
    <mergeCell ref="J58:O58"/>
    <mergeCell ref="B90:N91"/>
    <mergeCell ref="B9:M9"/>
    <mergeCell ref="P58:U58"/>
    <mergeCell ref="N59:O59"/>
    <mergeCell ref="R59:S59"/>
    <mergeCell ref="P59:Q59"/>
    <mergeCell ref="T59:U5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C8CB-5877-43AF-AD9A-6F7C1BC86C89}">
  <dimension ref="A1:E47"/>
  <sheetViews>
    <sheetView workbookViewId="0">
      <selection activeCell="G7" sqref="G7"/>
    </sheetView>
  </sheetViews>
  <sheetFormatPr defaultRowHeight="14.4" x14ac:dyDescent="0.3"/>
  <sheetData>
    <row r="1" spans="1:5" x14ac:dyDescent="0.3">
      <c r="A1" s="34" t="s">
        <v>15</v>
      </c>
      <c r="B1" s="34"/>
      <c r="C1" s="34"/>
      <c r="D1" s="34"/>
      <c r="E1" s="34"/>
    </row>
    <row r="2" spans="1:5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</row>
    <row r="3" spans="1:5" x14ac:dyDescent="0.3">
      <c r="A3" s="4">
        <v>1</v>
      </c>
      <c r="B3" s="5">
        <v>16</v>
      </c>
      <c r="C3" s="5">
        <v>10</v>
      </c>
      <c r="D3" s="4">
        <f>B3*C3</f>
        <v>160</v>
      </c>
      <c r="E3" s="4">
        <f>B3*C3*C3</f>
        <v>1600</v>
      </c>
    </row>
    <row r="4" spans="1:5" x14ac:dyDescent="0.3">
      <c r="A4" s="4">
        <v>2</v>
      </c>
      <c r="B4" s="5">
        <v>2</v>
      </c>
      <c r="C4" s="5">
        <v>8</v>
      </c>
      <c r="D4" s="4">
        <f t="shared" ref="D4:D47" si="0">B4*C4</f>
        <v>16</v>
      </c>
      <c r="E4" s="4">
        <f t="shared" ref="E4:E47" si="1">B4*C4*C4</f>
        <v>128</v>
      </c>
    </row>
    <row r="5" spans="1:5" x14ac:dyDescent="0.3">
      <c r="A5" s="4">
        <v>3</v>
      </c>
      <c r="B5" s="5">
        <v>14</v>
      </c>
      <c r="C5" s="5">
        <v>11</v>
      </c>
      <c r="D5" s="4">
        <f t="shared" si="0"/>
        <v>154</v>
      </c>
      <c r="E5" s="4">
        <f t="shared" si="1"/>
        <v>1694</v>
      </c>
    </row>
    <row r="6" spans="1:5" x14ac:dyDescent="0.3">
      <c r="A6" s="4">
        <v>4</v>
      </c>
      <c r="B6" s="5">
        <v>12</v>
      </c>
      <c r="C6" s="5">
        <v>14</v>
      </c>
      <c r="D6" s="4">
        <f t="shared" si="0"/>
        <v>168</v>
      </c>
      <c r="E6" s="4">
        <f t="shared" si="1"/>
        <v>2352</v>
      </c>
    </row>
    <row r="7" spans="1:5" x14ac:dyDescent="0.3">
      <c r="A7" s="4">
        <v>5</v>
      </c>
      <c r="B7" s="5">
        <v>4</v>
      </c>
      <c r="C7" s="5">
        <v>16</v>
      </c>
      <c r="D7" s="4">
        <f t="shared" si="0"/>
        <v>64</v>
      </c>
      <c r="E7" s="4">
        <f t="shared" si="1"/>
        <v>1024</v>
      </c>
    </row>
    <row r="8" spans="1:5" x14ac:dyDescent="0.3">
      <c r="A8" s="4">
        <v>6</v>
      </c>
      <c r="B8" s="5">
        <v>11</v>
      </c>
      <c r="C8" s="5">
        <v>2</v>
      </c>
      <c r="D8" s="4">
        <f t="shared" si="0"/>
        <v>22</v>
      </c>
      <c r="E8" s="4">
        <f t="shared" si="1"/>
        <v>44</v>
      </c>
    </row>
    <row r="9" spans="1:5" x14ac:dyDescent="0.3">
      <c r="A9" s="4">
        <v>7</v>
      </c>
      <c r="B9" s="5">
        <v>15</v>
      </c>
      <c r="C9" s="5">
        <v>19</v>
      </c>
      <c r="D9" s="4">
        <f t="shared" si="0"/>
        <v>285</v>
      </c>
      <c r="E9" s="4">
        <f t="shared" si="1"/>
        <v>5415</v>
      </c>
    </row>
    <row r="10" spans="1:5" x14ac:dyDescent="0.3">
      <c r="A10" s="4">
        <v>8</v>
      </c>
      <c r="B10" s="5">
        <v>5</v>
      </c>
      <c r="C10" s="5">
        <v>13</v>
      </c>
      <c r="D10" s="4">
        <f t="shared" si="0"/>
        <v>65</v>
      </c>
      <c r="E10" s="4">
        <f t="shared" si="1"/>
        <v>845</v>
      </c>
    </row>
    <row r="11" spans="1:5" x14ac:dyDescent="0.3">
      <c r="A11" s="4">
        <v>9</v>
      </c>
      <c r="B11" s="5">
        <v>12</v>
      </c>
      <c r="C11" s="5">
        <v>15</v>
      </c>
      <c r="D11" s="4">
        <f t="shared" si="0"/>
        <v>180</v>
      </c>
      <c r="E11" s="4">
        <f t="shared" si="1"/>
        <v>2700</v>
      </c>
    </row>
    <row r="12" spans="1:5" x14ac:dyDescent="0.3">
      <c r="A12" s="4">
        <v>10</v>
      </c>
      <c r="B12" s="5">
        <v>13</v>
      </c>
      <c r="C12" s="5">
        <v>3</v>
      </c>
      <c r="D12" s="4">
        <f t="shared" si="0"/>
        <v>39</v>
      </c>
      <c r="E12" s="4">
        <f t="shared" si="1"/>
        <v>117</v>
      </c>
    </row>
    <row r="13" spans="1:5" x14ac:dyDescent="0.3">
      <c r="A13" s="4">
        <v>11</v>
      </c>
      <c r="B13" s="5">
        <v>9</v>
      </c>
      <c r="C13" s="5">
        <v>13</v>
      </c>
      <c r="D13" s="4">
        <f t="shared" si="0"/>
        <v>117</v>
      </c>
      <c r="E13" s="4">
        <f t="shared" si="1"/>
        <v>1521</v>
      </c>
    </row>
    <row r="14" spans="1:5" x14ac:dyDescent="0.3">
      <c r="A14" s="4">
        <v>12</v>
      </c>
      <c r="B14" s="5">
        <v>14</v>
      </c>
      <c r="C14" s="5">
        <v>16</v>
      </c>
      <c r="D14" s="4">
        <f t="shared" si="0"/>
        <v>224</v>
      </c>
      <c r="E14" s="4">
        <f t="shared" si="1"/>
        <v>3584</v>
      </c>
    </row>
    <row r="15" spans="1:5" x14ac:dyDescent="0.3">
      <c r="A15" s="4">
        <v>13</v>
      </c>
      <c r="B15" s="5">
        <v>12</v>
      </c>
      <c r="C15" s="5">
        <v>17</v>
      </c>
      <c r="D15" s="4">
        <f t="shared" si="0"/>
        <v>204</v>
      </c>
      <c r="E15" s="4">
        <f t="shared" si="1"/>
        <v>3468</v>
      </c>
    </row>
    <row r="16" spans="1:5" x14ac:dyDescent="0.3">
      <c r="A16" s="4">
        <v>14</v>
      </c>
      <c r="B16" s="5">
        <v>2</v>
      </c>
      <c r="C16" s="5">
        <v>1</v>
      </c>
      <c r="D16" s="4">
        <f t="shared" si="0"/>
        <v>2</v>
      </c>
      <c r="E16" s="4">
        <f t="shared" si="1"/>
        <v>2</v>
      </c>
    </row>
    <row r="17" spans="1:5" x14ac:dyDescent="0.3">
      <c r="A17" s="4">
        <v>15</v>
      </c>
      <c r="B17" s="5">
        <v>15</v>
      </c>
      <c r="C17" s="5">
        <v>6</v>
      </c>
      <c r="D17" s="4">
        <f t="shared" si="0"/>
        <v>90</v>
      </c>
      <c r="E17" s="4">
        <f t="shared" si="1"/>
        <v>540</v>
      </c>
    </row>
    <row r="18" spans="1:5" x14ac:dyDescent="0.3">
      <c r="A18" s="4">
        <v>16</v>
      </c>
      <c r="B18" s="5">
        <v>17</v>
      </c>
      <c r="C18" s="5">
        <v>3</v>
      </c>
      <c r="D18" s="4">
        <f t="shared" si="0"/>
        <v>51</v>
      </c>
      <c r="E18" s="4">
        <f t="shared" si="1"/>
        <v>153</v>
      </c>
    </row>
    <row r="19" spans="1:5" x14ac:dyDescent="0.3">
      <c r="A19" s="4">
        <v>17</v>
      </c>
      <c r="B19" s="5">
        <v>3</v>
      </c>
      <c r="C19" s="5">
        <v>1</v>
      </c>
      <c r="D19" s="4">
        <f t="shared" si="0"/>
        <v>3</v>
      </c>
      <c r="E19" s="4">
        <f t="shared" si="1"/>
        <v>3</v>
      </c>
    </row>
    <row r="20" spans="1:5" x14ac:dyDescent="0.3">
      <c r="A20" s="4">
        <v>18</v>
      </c>
      <c r="B20" s="5">
        <v>8</v>
      </c>
      <c r="C20" s="5">
        <v>5</v>
      </c>
      <c r="D20" s="4">
        <f t="shared" si="0"/>
        <v>40</v>
      </c>
      <c r="E20" s="4">
        <f t="shared" si="1"/>
        <v>200</v>
      </c>
    </row>
    <row r="21" spans="1:5" x14ac:dyDescent="0.3">
      <c r="A21" s="4">
        <v>19</v>
      </c>
      <c r="B21" s="5">
        <v>2</v>
      </c>
      <c r="C21" s="5">
        <v>10</v>
      </c>
      <c r="D21" s="4">
        <f t="shared" si="0"/>
        <v>20</v>
      </c>
      <c r="E21" s="4">
        <f t="shared" si="1"/>
        <v>200</v>
      </c>
    </row>
    <row r="22" spans="1:5" x14ac:dyDescent="0.3">
      <c r="A22" s="4">
        <v>20</v>
      </c>
      <c r="B22" s="5">
        <v>7</v>
      </c>
      <c r="C22" s="5">
        <v>1</v>
      </c>
      <c r="D22" s="4">
        <f t="shared" si="0"/>
        <v>7</v>
      </c>
      <c r="E22" s="4">
        <f t="shared" si="1"/>
        <v>7</v>
      </c>
    </row>
    <row r="23" spans="1:5" x14ac:dyDescent="0.3">
      <c r="A23" s="4">
        <v>21</v>
      </c>
      <c r="B23" s="5">
        <v>3</v>
      </c>
      <c r="C23" s="5">
        <v>18</v>
      </c>
      <c r="D23" s="4">
        <f t="shared" si="0"/>
        <v>54</v>
      </c>
      <c r="E23" s="4">
        <f t="shared" si="1"/>
        <v>972</v>
      </c>
    </row>
    <row r="24" spans="1:5" x14ac:dyDescent="0.3">
      <c r="A24" s="4">
        <v>22</v>
      </c>
      <c r="B24" s="5">
        <v>20</v>
      </c>
      <c r="C24" s="5">
        <v>2</v>
      </c>
      <c r="D24" s="4">
        <f t="shared" si="0"/>
        <v>40</v>
      </c>
      <c r="E24" s="4">
        <f t="shared" si="1"/>
        <v>80</v>
      </c>
    </row>
    <row r="25" spans="1:5" x14ac:dyDescent="0.3">
      <c r="A25" s="4">
        <v>23</v>
      </c>
      <c r="B25" s="5">
        <v>8</v>
      </c>
      <c r="C25" s="5">
        <v>13</v>
      </c>
      <c r="D25" s="4">
        <f t="shared" si="0"/>
        <v>104</v>
      </c>
      <c r="E25" s="4">
        <f t="shared" si="1"/>
        <v>1352</v>
      </c>
    </row>
    <row r="26" spans="1:5" x14ac:dyDescent="0.3">
      <c r="A26" s="4">
        <v>24</v>
      </c>
      <c r="B26" s="5">
        <v>8</v>
      </c>
      <c r="C26" s="5">
        <v>3</v>
      </c>
      <c r="D26" s="4">
        <f t="shared" si="0"/>
        <v>24</v>
      </c>
      <c r="E26" s="4">
        <f t="shared" si="1"/>
        <v>72</v>
      </c>
    </row>
    <row r="27" spans="1:5" x14ac:dyDescent="0.3">
      <c r="A27" s="4">
        <v>25</v>
      </c>
      <c r="B27" s="5">
        <v>15</v>
      </c>
      <c r="C27" s="5">
        <v>9</v>
      </c>
      <c r="D27" s="4">
        <f t="shared" si="0"/>
        <v>135</v>
      </c>
      <c r="E27" s="4">
        <f t="shared" si="1"/>
        <v>1215</v>
      </c>
    </row>
    <row r="28" spans="1:5" x14ac:dyDescent="0.3">
      <c r="A28" s="4">
        <v>26</v>
      </c>
      <c r="B28" s="5">
        <v>10</v>
      </c>
      <c r="C28" s="5">
        <v>11</v>
      </c>
      <c r="D28" s="4">
        <f t="shared" si="0"/>
        <v>110</v>
      </c>
      <c r="E28" s="4">
        <f t="shared" si="1"/>
        <v>1210</v>
      </c>
    </row>
    <row r="29" spans="1:5" x14ac:dyDescent="0.3">
      <c r="A29" s="4">
        <v>27</v>
      </c>
      <c r="B29" s="5">
        <v>5</v>
      </c>
      <c r="C29" s="5">
        <v>17</v>
      </c>
      <c r="D29" s="4">
        <f t="shared" si="0"/>
        <v>85</v>
      </c>
      <c r="E29" s="4">
        <f t="shared" si="1"/>
        <v>1445</v>
      </c>
    </row>
    <row r="30" spans="1:5" x14ac:dyDescent="0.3">
      <c r="A30" s="4">
        <v>28</v>
      </c>
      <c r="B30" s="5">
        <v>2</v>
      </c>
      <c r="C30" s="5">
        <v>2</v>
      </c>
      <c r="D30" s="4">
        <f t="shared" si="0"/>
        <v>4</v>
      </c>
      <c r="E30" s="4">
        <f t="shared" si="1"/>
        <v>8</v>
      </c>
    </row>
    <row r="31" spans="1:5" x14ac:dyDescent="0.3">
      <c r="A31" s="4">
        <v>29</v>
      </c>
      <c r="B31" s="5">
        <v>11</v>
      </c>
      <c r="C31" s="5">
        <v>12</v>
      </c>
      <c r="D31" s="4">
        <f t="shared" si="0"/>
        <v>132</v>
      </c>
      <c r="E31" s="4">
        <f t="shared" si="1"/>
        <v>1584</v>
      </c>
    </row>
    <row r="32" spans="1:5" x14ac:dyDescent="0.3">
      <c r="A32" s="4">
        <v>30</v>
      </c>
      <c r="B32" s="5">
        <v>14</v>
      </c>
      <c r="C32" s="5">
        <v>6</v>
      </c>
      <c r="D32" s="4">
        <f t="shared" si="0"/>
        <v>84</v>
      </c>
      <c r="E32" s="4">
        <f t="shared" si="1"/>
        <v>504</v>
      </c>
    </row>
    <row r="33" spans="1:5" x14ac:dyDescent="0.3">
      <c r="A33" s="4">
        <v>31</v>
      </c>
      <c r="B33" s="5">
        <v>12</v>
      </c>
      <c r="C33" s="5">
        <v>18</v>
      </c>
      <c r="D33" s="4">
        <f t="shared" si="0"/>
        <v>216</v>
      </c>
      <c r="E33" s="4">
        <f t="shared" si="1"/>
        <v>3888</v>
      </c>
    </row>
    <row r="34" spans="1:5" x14ac:dyDescent="0.3">
      <c r="A34" s="4">
        <v>32</v>
      </c>
      <c r="B34" s="5">
        <v>8</v>
      </c>
      <c r="C34" s="5">
        <v>4</v>
      </c>
      <c r="D34" s="4">
        <f t="shared" si="0"/>
        <v>32</v>
      </c>
      <c r="E34" s="4">
        <f t="shared" si="1"/>
        <v>128</v>
      </c>
    </row>
    <row r="35" spans="1:5" x14ac:dyDescent="0.3">
      <c r="A35" s="4">
        <v>33</v>
      </c>
      <c r="B35" s="5">
        <v>11</v>
      </c>
      <c r="C35" s="5">
        <v>2</v>
      </c>
      <c r="D35" s="4">
        <f t="shared" si="0"/>
        <v>22</v>
      </c>
      <c r="E35" s="4">
        <f t="shared" si="1"/>
        <v>44</v>
      </c>
    </row>
    <row r="36" spans="1:5" x14ac:dyDescent="0.3">
      <c r="A36" s="4">
        <v>34</v>
      </c>
      <c r="B36" s="5">
        <v>1</v>
      </c>
      <c r="C36" s="5">
        <v>11</v>
      </c>
      <c r="D36" s="4">
        <f t="shared" si="0"/>
        <v>11</v>
      </c>
      <c r="E36" s="4">
        <f t="shared" si="1"/>
        <v>121</v>
      </c>
    </row>
    <row r="37" spans="1:5" x14ac:dyDescent="0.3">
      <c r="A37" s="4">
        <v>35</v>
      </c>
      <c r="B37" s="5">
        <v>10</v>
      </c>
      <c r="C37" s="5">
        <v>7</v>
      </c>
      <c r="D37" s="4">
        <f t="shared" si="0"/>
        <v>70</v>
      </c>
      <c r="E37" s="4">
        <f t="shared" si="1"/>
        <v>490</v>
      </c>
    </row>
    <row r="38" spans="1:5" x14ac:dyDescent="0.3">
      <c r="A38" s="4">
        <v>36</v>
      </c>
      <c r="B38" s="5">
        <v>19</v>
      </c>
      <c r="C38" s="5">
        <v>18</v>
      </c>
      <c r="D38" s="4">
        <f t="shared" si="0"/>
        <v>342</v>
      </c>
      <c r="E38" s="4">
        <f t="shared" si="1"/>
        <v>6156</v>
      </c>
    </row>
    <row r="39" spans="1:5" x14ac:dyDescent="0.3">
      <c r="A39" s="4">
        <v>37</v>
      </c>
      <c r="B39" s="5">
        <v>6</v>
      </c>
      <c r="C39" s="5">
        <v>19</v>
      </c>
      <c r="D39" s="4">
        <f t="shared" si="0"/>
        <v>114</v>
      </c>
      <c r="E39" s="4">
        <f t="shared" si="1"/>
        <v>2166</v>
      </c>
    </row>
    <row r="40" spans="1:5" x14ac:dyDescent="0.3">
      <c r="A40" s="4">
        <v>38</v>
      </c>
      <c r="B40" s="5">
        <v>15</v>
      </c>
      <c r="C40" s="5">
        <v>8</v>
      </c>
      <c r="D40" s="4">
        <f t="shared" si="0"/>
        <v>120</v>
      </c>
      <c r="E40" s="4">
        <f t="shared" si="1"/>
        <v>960</v>
      </c>
    </row>
    <row r="41" spans="1:5" x14ac:dyDescent="0.3">
      <c r="A41" s="4">
        <v>39</v>
      </c>
      <c r="B41" s="5">
        <v>9</v>
      </c>
      <c r="C41" s="5">
        <v>6</v>
      </c>
      <c r="D41" s="4">
        <f t="shared" si="0"/>
        <v>54</v>
      </c>
      <c r="E41" s="4">
        <f t="shared" si="1"/>
        <v>324</v>
      </c>
    </row>
    <row r="42" spans="1:5" x14ac:dyDescent="0.3">
      <c r="A42" s="4">
        <v>40</v>
      </c>
      <c r="B42" s="5">
        <v>11</v>
      </c>
      <c r="C42" s="5">
        <v>6</v>
      </c>
      <c r="D42" s="4">
        <f t="shared" si="0"/>
        <v>66</v>
      </c>
      <c r="E42" s="4">
        <f t="shared" si="1"/>
        <v>396</v>
      </c>
    </row>
    <row r="43" spans="1:5" x14ac:dyDescent="0.3">
      <c r="A43" s="4">
        <v>41</v>
      </c>
      <c r="B43" s="5">
        <v>15</v>
      </c>
      <c r="C43" s="5">
        <v>4</v>
      </c>
      <c r="D43" s="4">
        <f t="shared" si="0"/>
        <v>60</v>
      </c>
      <c r="E43" s="4">
        <f t="shared" si="1"/>
        <v>240</v>
      </c>
    </row>
    <row r="44" spans="1:5" x14ac:dyDescent="0.3">
      <c r="A44" s="4">
        <v>42</v>
      </c>
      <c r="B44" s="5">
        <v>11</v>
      </c>
      <c r="C44" s="5">
        <v>11</v>
      </c>
      <c r="D44" s="4">
        <f t="shared" si="0"/>
        <v>121</v>
      </c>
      <c r="E44" s="4">
        <f t="shared" si="1"/>
        <v>1331</v>
      </c>
    </row>
    <row r="45" spans="1:5" x14ac:dyDescent="0.3">
      <c r="A45" s="4">
        <v>43</v>
      </c>
      <c r="B45" s="5">
        <v>12</v>
      </c>
      <c r="C45" s="5">
        <v>15</v>
      </c>
      <c r="D45" s="4">
        <f t="shared" si="0"/>
        <v>180</v>
      </c>
      <c r="E45" s="4">
        <f t="shared" si="1"/>
        <v>2700</v>
      </c>
    </row>
    <row r="46" spans="1:5" x14ac:dyDescent="0.3">
      <c r="A46" s="4">
        <v>44</v>
      </c>
      <c r="B46" s="5">
        <v>10</v>
      </c>
      <c r="C46" s="5">
        <v>15</v>
      </c>
      <c r="D46" s="4">
        <f t="shared" si="0"/>
        <v>150</v>
      </c>
      <c r="E46" s="4">
        <f t="shared" si="1"/>
        <v>2250</v>
      </c>
    </row>
    <row r="47" spans="1:5" x14ac:dyDescent="0.3">
      <c r="A47" s="6">
        <v>45</v>
      </c>
      <c r="B47" s="7">
        <v>8</v>
      </c>
      <c r="C47" s="7">
        <v>17</v>
      </c>
      <c r="D47" s="6">
        <f t="shared" si="0"/>
        <v>136</v>
      </c>
      <c r="E47" s="6">
        <f t="shared" si="1"/>
        <v>2312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4FBB-0AC5-4174-9EB7-3539BAE7819D}">
  <dimension ref="A1:AC102"/>
  <sheetViews>
    <sheetView tabSelected="1" zoomScale="85" zoomScaleNormal="85" workbookViewId="0">
      <selection activeCell="P24" sqref="P24"/>
    </sheetView>
  </sheetViews>
  <sheetFormatPr defaultRowHeight="13.8" x14ac:dyDescent="0.25"/>
  <cols>
    <col min="1" max="1" width="21.21875" style="1" customWidth="1"/>
    <col min="2" max="2" width="8.88671875" style="1"/>
    <col min="3" max="3" width="10" style="1" bestFit="1" customWidth="1"/>
    <col min="4" max="12" width="14.77734375" style="1" bestFit="1" customWidth="1"/>
    <col min="13" max="13" width="10.5546875" style="1" customWidth="1"/>
    <col min="14" max="14" width="16.109375" style="9" customWidth="1"/>
    <col min="15" max="15" width="9.77734375" style="1" customWidth="1"/>
    <col min="16" max="16" width="15.88671875" style="1" customWidth="1"/>
    <col min="17" max="26" width="11.88671875" style="1" bestFit="1" customWidth="1"/>
    <col min="27" max="16384" width="8.88671875" style="1"/>
  </cols>
  <sheetData>
    <row r="1" spans="1:26" x14ac:dyDescent="0.25">
      <c r="B1" s="10" t="s">
        <v>17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26" x14ac:dyDescent="0.25">
      <c r="A2" s="18"/>
      <c r="B2" s="12"/>
      <c r="C2" s="12"/>
      <c r="D2" s="12">
        <v>0</v>
      </c>
      <c r="E2" s="12">
        <v>10</v>
      </c>
      <c r="F2" s="12">
        <v>20</v>
      </c>
      <c r="G2" s="12">
        <v>30</v>
      </c>
      <c r="H2" s="12">
        <v>40</v>
      </c>
      <c r="I2" s="12">
        <v>50</v>
      </c>
      <c r="J2" s="12">
        <v>60</v>
      </c>
      <c r="K2" s="12">
        <v>70</v>
      </c>
      <c r="L2" s="12">
        <v>80</v>
      </c>
      <c r="M2" s="12">
        <v>90</v>
      </c>
      <c r="N2" s="18" t="s">
        <v>21</v>
      </c>
    </row>
    <row r="3" spans="1:26" x14ac:dyDescent="0.25">
      <c r="A3" s="9" t="s">
        <v>28</v>
      </c>
      <c r="B3" s="5" t="s">
        <v>54</v>
      </c>
      <c r="C3" s="5" t="s">
        <v>55</v>
      </c>
      <c r="D3" s="23">
        <v>88256.162425830305</v>
      </c>
      <c r="E3" s="23">
        <v>85877.973651213601</v>
      </c>
      <c r="F3" s="23">
        <v>84730.402132995907</v>
      </c>
      <c r="G3" s="23">
        <v>86224.055484735203</v>
      </c>
      <c r="H3" s="23">
        <v>83588.553308529401</v>
      </c>
      <c r="I3" s="23">
        <v>82164.712331043906</v>
      </c>
      <c r="J3" s="23">
        <v>80370.441457044595</v>
      </c>
      <c r="K3" s="23">
        <v>78412.145568099993</v>
      </c>
      <c r="L3" s="23">
        <v>76608.383379138904</v>
      </c>
      <c r="M3" s="23">
        <v>75955.3974866075</v>
      </c>
      <c r="N3" s="21">
        <f>AVERAGE(D3:M3)</f>
        <v>82218.822722523939</v>
      </c>
    </row>
    <row r="4" spans="1:26" x14ac:dyDescent="0.25">
      <c r="A4" s="9"/>
      <c r="B4" s="5" t="s">
        <v>60</v>
      </c>
      <c r="C4" s="5" t="s">
        <v>55</v>
      </c>
      <c r="D4" s="21">
        <v>99791.418533068194</v>
      </c>
      <c r="E4" s="21">
        <v>99230.720735142604</v>
      </c>
      <c r="F4" s="21">
        <v>95406.114783211597</v>
      </c>
      <c r="G4" s="21">
        <v>96750.7668484241</v>
      </c>
      <c r="H4" s="21">
        <v>96616.969854815703</v>
      </c>
      <c r="I4" s="21">
        <v>91752.581433952204</v>
      </c>
      <c r="J4" s="21">
        <v>92745.393922653893</v>
      </c>
      <c r="K4" s="21">
        <v>90122.346456770596</v>
      </c>
      <c r="L4" s="21">
        <v>89159.549871737094</v>
      </c>
      <c r="M4" s="21">
        <v>86611.199713487105</v>
      </c>
      <c r="N4" s="21">
        <f>AVERAGE(D4:M4)</f>
        <v>93818.706215326296</v>
      </c>
    </row>
    <row r="5" spans="1:26" x14ac:dyDescent="0.25">
      <c r="A5" s="9"/>
      <c r="C5" s="5" t="s">
        <v>16</v>
      </c>
      <c r="D5" s="22">
        <f>(D4-D3)/D3</f>
        <v>0.13070199054861484</v>
      </c>
      <c r="E5" s="22">
        <f t="shared" ref="E5:N5" si="0">(E4-E3)/E3</f>
        <v>0.15548512052881103</v>
      </c>
      <c r="F5" s="22">
        <f t="shared" si="0"/>
        <v>0.12599624670090323</v>
      </c>
      <c r="G5" s="22">
        <f t="shared" si="0"/>
        <v>0.12208555146831974</v>
      </c>
      <c r="H5" s="22">
        <f t="shared" si="0"/>
        <v>0.15586364437003455</v>
      </c>
      <c r="I5" s="22">
        <f t="shared" si="0"/>
        <v>0.11669083759800081</v>
      </c>
      <c r="J5" s="22">
        <f t="shared" si="0"/>
        <v>0.15397392674797375</v>
      </c>
      <c r="K5" s="22">
        <f t="shared" si="0"/>
        <v>0.14934167154628405</v>
      </c>
      <c r="L5" s="22">
        <f t="shared" si="0"/>
        <v>0.16383541773074375</v>
      </c>
      <c r="M5" s="22">
        <f t="shared" si="0"/>
        <v>0.14029025690713345</v>
      </c>
      <c r="N5" s="22">
        <f t="shared" si="0"/>
        <v>0.14108549731915046</v>
      </c>
    </row>
    <row r="6" spans="1:26" x14ac:dyDescent="0.25">
      <c r="A6" s="9"/>
      <c r="B6" s="5" t="s">
        <v>34</v>
      </c>
      <c r="C6" s="5" t="s">
        <v>55</v>
      </c>
      <c r="D6" s="21">
        <v>159305.419693017</v>
      </c>
      <c r="E6" s="21">
        <v>155997.96194283399</v>
      </c>
      <c r="F6" s="21">
        <v>154734.04226427601</v>
      </c>
      <c r="G6" s="21">
        <v>152944.45303679199</v>
      </c>
      <c r="H6" s="21">
        <v>151611.74967976101</v>
      </c>
      <c r="I6" s="21">
        <v>150031.09163328601</v>
      </c>
      <c r="J6" s="21">
        <v>150821.59719151299</v>
      </c>
      <c r="K6" s="21">
        <v>146794.99256308901</v>
      </c>
      <c r="L6" s="21">
        <v>146653.60293840701</v>
      </c>
      <c r="M6" s="21">
        <v>144738.96202196099</v>
      </c>
      <c r="N6" s="21">
        <f t="shared" ref="N6:N9" si="1">AVERAGE(D6:M6)</f>
        <v>151363.38729649357</v>
      </c>
    </row>
    <row r="7" spans="1:26" x14ac:dyDescent="0.25">
      <c r="A7" s="9"/>
      <c r="B7" s="5"/>
      <c r="C7" s="5" t="s">
        <v>16</v>
      </c>
      <c r="D7" s="14">
        <f t="shared" ref="D7:M7" si="2">(D6-D3)/D3</f>
        <v>0.80503451899912215</v>
      </c>
      <c r="E7" s="14">
        <f t="shared" si="2"/>
        <v>0.8165072522135538</v>
      </c>
      <c r="F7" s="14">
        <f t="shared" si="2"/>
        <v>0.82619270496792707</v>
      </c>
      <c r="G7" s="14">
        <f t="shared" si="2"/>
        <v>0.77380259113268834</v>
      </c>
      <c r="H7" s="14">
        <f t="shared" si="2"/>
        <v>0.81378602307130132</v>
      </c>
      <c r="I7" s="14">
        <f t="shared" si="2"/>
        <v>0.82597963744833158</v>
      </c>
      <c r="J7" s="14">
        <f t="shared" si="2"/>
        <v>0.87658042505741696</v>
      </c>
      <c r="K7" s="14">
        <f t="shared" si="2"/>
        <v>0.87209508807024472</v>
      </c>
      <c r="L7" s="14">
        <f t="shared" si="2"/>
        <v>0.91432838639357061</v>
      </c>
      <c r="M7" s="14">
        <f t="shared" si="2"/>
        <v>0.90557836324247332</v>
      </c>
      <c r="N7" s="17">
        <f t="shared" si="1"/>
        <v>0.842988499059663</v>
      </c>
    </row>
    <row r="8" spans="1:26" x14ac:dyDescent="0.25">
      <c r="A8" s="9"/>
      <c r="B8" s="5" t="s">
        <v>35</v>
      </c>
      <c r="C8" s="5" t="s">
        <v>55</v>
      </c>
      <c r="D8" s="21">
        <v>165037.32998497199</v>
      </c>
      <c r="E8" s="21">
        <v>164830.21364796301</v>
      </c>
      <c r="F8" s="21">
        <v>162936.21221015599</v>
      </c>
      <c r="G8" s="21">
        <v>161337.14528272001</v>
      </c>
      <c r="H8" s="21">
        <v>163453.00161952499</v>
      </c>
      <c r="I8" s="21">
        <v>160516.013809225</v>
      </c>
      <c r="J8" s="21">
        <v>157305.73546527501</v>
      </c>
      <c r="K8" s="21">
        <v>156110.82399270101</v>
      </c>
      <c r="L8" s="21">
        <v>153938.61722406701</v>
      </c>
      <c r="M8" s="21">
        <v>152092.30674576701</v>
      </c>
      <c r="N8" s="21">
        <f t="shared" si="1"/>
        <v>159755.73999823708</v>
      </c>
    </row>
    <row r="9" spans="1:26" x14ac:dyDescent="0.25">
      <c r="A9" s="9"/>
      <c r="B9" s="5"/>
      <c r="C9" s="7" t="s">
        <v>16</v>
      </c>
      <c r="D9" s="15">
        <f t="shared" ref="D9:M9" si="3">(D8-D3)/D3</f>
        <v>0.86998080869047412</v>
      </c>
      <c r="E9" s="15">
        <f t="shared" si="3"/>
        <v>0.91935378351389041</v>
      </c>
      <c r="F9" s="15">
        <f t="shared" si="3"/>
        <v>0.92299585636812409</v>
      </c>
      <c r="G9" s="15">
        <f t="shared" si="3"/>
        <v>0.87113844710403998</v>
      </c>
      <c r="H9" s="15">
        <f t="shared" si="3"/>
        <v>0.95544718923668936</v>
      </c>
      <c r="I9" s="15">
        <f t="shared" si="3"/>
        <v>0.95358821634403734</v>
      </c>
      <c r="J9" s="15">
        <f t="shared" si="3"/>
        <v>0.95725857185131724</v>
      </c>
      <c r="K9" s="15">
        <f t="shared" si="3"/>
        <v>0.99090106337060579</v>
      </c>
      <c r="L9" s="15">
        <f t="shared" si="3"/>
        <v>1.0094226040799834</v>
      </c>
      <c r="M9" s="15">
        <f t="shared" si="3"/>
        <v>1.0023897152613022</v>
      </c>
      <c r="N9" s="20">
        <f t="shared" si="1"/>
        <v>0.94524762558204645</v>
      </c>
    </row>
    <row r="10" spans="1:26" x14ac:dyDescent="0.25">
      <c r="A10" s="9" t="s">
        <v>29</v>
      </c>
      <c r="B10" s="5" t="s">
        <v>54</v>
      </c>
      <c r="C10" s="5" t="s">
        <v>55</v>
      </c>
      <c r="D10" s="21">
        <v>113462.252242731</v>
      </c>
      <c r="E10" s="21">
        <v>113328.15388850401</v>
      </c>
      <c r="F10" s="21">
        <v>111134.69447982599</v>
      </c>
      <c r="G10" s="21">
        <v>109659.061231418</v>
      </c>
      <c r="H10" s="21">
        <v>109341.877917213</v>
      </c>
      <c r="I10" s="21">
        <v>107388.42501207499</v>
      </c>
      <c r="J10" s="21">
        <v>106111.91292488899</v>
      </c>
      <c r="K10" s="21">
        <v>102032.10664584499</v>
      </c>
      <c r="L10" s="21">
        <v>101023.859646136</v>
      </c>
      <c r="M10" s="21">
        <v>101758.281188416</v>
      </c>
      <c r="N10" s="21">
        <f>AVERAGE(D10:M10)</f>
        <v>107524.0625177053</v>
      </c>
    </row>
    <row r="11" spans="1:26" x14ac:dyDescent="0.25">
      <c r="A11" s="9"/>
      <c r="B11" s="5" t="s">
        <v>60</v>
      </c>
      <c r="C11" s="5" t="s">
        <v>55</v>
      </c>
      <c r="D11" s="21">
        <v>137621.840618813</v>
      </c>
      <c r="E11" s="21">
        <v>135284.10126351201</v>
      </c>
      <c r="F11" s="21">
        <v>136135.20123852001</v>
      </c>
      <c r="G11" s="21">
        <v>135539.31304508701</v>
      </c>
      <c r="H11" s="21">
        <v>132418.01657878899</v>
      </c>
      <c r="I11" s="21">
        <v>129465.077986114</v>
      </c>
      <c r="J11" s="21">
        <v>130102.340070829</v>
      </c>
      <c r="K11" s="21">
        <v>127710.450109237</v>
      </c>
      <c r="L11" s="21">
        <v>127380.79972343</v>
      </c>
      <c r="M11" s="21">
        <v>125297.152141119</v>
      </c>
      <c r="N11" s="21">
        <f>AVERAGE(D11:M11)</f>
        <v>131695.42927754502</v>
      </c>
    </row>
    <row r="12" spans="1:26" x14ac:dyDescent="0.25">
      <c r="A12" s="9"/>
      <c r="B12" s="5"/>
      <c r="C12" s="5" t="s">
        <v>16</v>
      </c>
      <c r="D12" s="17">
        <f>(D11-D10)/D10</f>
        <v>0.21293062581198491</v>
      </c>
      <c r="E12" s="17">
        <f t="shared" ref="E12:N12" si="4">(E11-E10)/E10</f>
        <v>0.19373780143466376</v>
      </c>
      <c r="F12" s="17">
        <f t="shared" si="4"/>
        <v>0.22495681367291015</v>
      </c>
      <c r="G12" s="17">
        <f t="shared" si="4"/>
        <v>0.23600650528142722</v>
      </c>
      <c r="H12" s="17">
        <f t="shared" si="4"/>
        <v>0.21104575027555159</v>
      </c>
      <c r="I12" s="17">
        <f t="shared" si="4"/>
        <v>0.20557758409769641</v>
      </c>
      <c r="J12" s="17">
        <f t="shared" si="4"/>
        <v>0.22608608670471861</v>
      </c>
      <c r="K12" s="17">
        <f t="shared" si="4"/>
        <v>0.2516692471372951</v>
      </c>
      <c r="L12" s="17">
        <f t="shared" si="4"/>
        <v>0.26089816969591606</v>
      </c>
      <c r="M12" s="17">
        <f t="shared" si="4"/>
        <v>0.23132142836727304</v>
      </c>
      <c r="N12" s="17">
        <f t="shared" si="4"/>
        <v>0.22479960479413219</v>
      </c>
      <c r="P12" s="1">
        <v>339895.43716466503</v>
      </c>
    </row>
    <row r="13" spans="1:26" x14ac:dyDescent="0.25">
      <c r="A13" s="9"/>
      <c r="B13" s="5" t="s">
        <v>34</v>
      </c>
      <c r="C13" s="5" t="s">
        <v>55</v>
      </c>
      <c r="D13" s="21">
        <v>200772.090744752</v>
      </c>
      <c r="E13" s="21">
        <v>200295.37809419</v>
      </c>
      <c r="F13" s="21">
        <v>194774.01328960399</v>
      </c>
      <c r="G13" s="21">
        <v>193977.804400027</v>
      </c>
      <c r="H13" s="21">
        <v>196848.08930947701</v>
      </c>
      <c r="I13" s="21">
        <v>190687.41786175899</v>
      </c>
      <c r="J13" s="21">
        <v>190832.103881502</v>
      </c>
      <c r="K13" s="21">
        <v>191438.859711784</v>
      </c>
      <c r="L13" s="21">
        <v>188135.237097773</v>
      </c>
      <c r="M13" s="21">
        <v>186786.72961416701</v>
      </c>
      <c r="N13" s="21">
        <f t="shared" ref="N13:N16" si="5">AVERAGE(D13:M13)</f>
        <v>193454.77240050351</v>
      </c>
      <c r="P13" s="1">
        <v>331763.45322970202</v>
      </c>
    </row>
    <row r="14" spans="1:26" x14ac:dyDescent="0.25">
      <c r="A14" s="9"/>
      <c r="B14" s="5"/>
      <c r="C14" s="5" t="s">
        <v>16</v>
      </c>
      <c r="D14" s="14">
        <f>(D13-D10)/D10</f>
        <v>0.76950560011128755</v>
      </c>
      <c r="E14" s="14">
        <f t="shared" ref="E14:M14" si="6">(E13-E10)/E10</f>
        <v>0.76739293125031605</v>
      </c>
      <c r="F14" s="14">
        <f t="shared" si="6"/>
        <v>0.75259413094405758</v>
      </c>
      <c r="G14" s="14">
        <f t="shared" si="6"/>
        <v>0.76891724424548646</v>
      </c>
      <c r="H14" s="14">
        <f t="shared" si="6"/>
        <v>0.80029914483925713</v>
      </c>
      <c r="I14" s="14">
        <f t="shared" si="6"/>
        <v>0.77567943510036275</v>
      </c>
      <c r="J14" s="14">
        <f t="shared" si="6"/>
        <v>0.79840414352516609</v>
      </c>
      <c r="K14" s="14">
        <f t="shared" si="6"/>
        <v>0.87626097318828489</v>
      </c>
      <c r="L14" s="14">
        <f t="shared" si="6"/>
        <v>0.86228518447789149</v>
      </c>
      <c r="M14" s="14">
        <f t="shared" si="6"/>
        <v>0.83559241992611899</v>
      </c>
      <c r="N14" s="17">
        <f t="shared" si="5"/>
        <v>0.80069312076082289</v>
      </c>
      <c r="O14" s="19"/>
      <c r="P14" s="1">
        <v>331494.15977756499</v>
      </c>
    </row>
    <row r="15" spans="1:26" x14ac:dyDescent="0.25">
      <c r="A15" s="9"/>
      <c r="B15" s="5" t="s">
        <v>35</v>
      </c>
      <c r="C15" s="5" t="s">
        <v>55</v>
      </c>
      <c r="D15" s="21">
        <v>211653.61200995301</v>
      </c>
      <c r="E15" s="21">
        <v>210135.52093418301</v>
      </c>
      <c r="F15" s="21">
        <v>207129.911862762</v>
      </c>
      <c r="G15" s="21">
        <v>206216.13032919</v>
      </c>
      <c r="H15" s="21">
        <v>206702.80001226699</v>
      </c>
      <c r="I15" s="21">
        <v>205755.37778809</v>
      </c>
      <c r="J15" s="21">
        <v>202390.893671392</v>
      </c>
      <c r="K15" s="21">
        <v>202890.332971992</v>
      </c>
      <c r="L15" s="21">
        <v>201320.35185287101</v>
      </c>
      <c r="M15" s="21">
        <v>199809.641099728</v>
      </c>
      <c r="N15" s="21">
        <f t="shared" si="5"/>
        <v>205400.45725324278</v>
      </c>
      <c r="O15" s="19"/>
      <c r="P15" s="1">
        <v>350140.88068095001</v>
      </c>
      <c r="Q15" s="21"/>
      <c r="R15" s="21"/>
      <c r="S15" s="21"/>
      <c r="T15" s="21"/>
      <c r="U15" s="21"/>
      <c r="V15" s="21"/>
      <c r="W15" s="21"/>
      <c r="X15" s="21"/>
      <c r="Y15" s="21"/>
      <c r="Z15" s="21">
        <v>529498.44640915899</v>
      </c>
    </row>
    <row r="16" spans="1:26" x14ac:dyDescent="0.25">
      <c r="A16" s="9"/>
      <c r="B16" s="5"/>
      <c r="C16" s="7" t="s">
        <v>16</v>
      </c>
      <c r="D16" s="15">
        <f>(D15-D10)/D10</f>
        <v>0.86540992996648947</v>
      </c>
      <c r="E16" s="15">
        <f t="shared" ref="E16:M16" si="7">(E15-E10)/E10</f>
        <v>0.85422168917461849</v>
      </c>
      <c r="F16" s="15">
        <f t="shared" si="7"/>
        <v>0.86377362022047743</v>
      </c>
      <c r="G16" s="15">
        <f t="shared" si="7"/>
        <v>0.88052066116090177</v>
      </c>
      <c r="H16" s="15">
        <f t="shared" si="7"/>
        <v>0.89042665033400781</v>
      </c>
      <c r="I16" s="15">
        <f t="shared" si="7"/>
        <v>0.91599213569762672</v>
      </c>
      <c r="J16" s="15">
        <f t="shared" si="7"/>
        <v>0.907334323664995</v>
      </c>
      <c r="K16" s="15">
        <f t="shared" si="7"/>
        <v>0.98849499085839188</v>
      </c>
      <c r="L16" s="15">
        <f t="shared" si="7"/>
        <v>0.99280004305964165</v>
      </c>
      <c r="M16" s="15">
        <f t="shared" si="7"/>
        <v>0.96357130610097219</v>
      </c>
      <c r="N16" s="20">
        <f t="shared" si="5"/>
        <v>0.91225453502381215</v>
      </c>
      <c r="O16" s="19"/>
      <c r="P16" s="1">
        <v>328541.60477087699</v>
      </c>
    </row>
    <row r="17" spans="1:25" x14ac:dyDescent="0.25">
      <c r="A17" s="9" t="s">
        <v>30</v>
      </c>
      <c r="B17" s="5" t="s">
        <v>54</v>
      </c>
      <c r="C17" s="5" t="s">
        <v>55</v>
      </c>
      <c r="D17" s="21">
        <v>140492.57541372499</v>
      </c>
      <c r="E17" s="21">
        <v>138116.91882585399</v>
      </c>
      <c r="F17" s="21">
        <v>135432.620519202</v>
      </c>
      <c r="G17" s="21">
        <v>134307.75807923399</v>
      </c>
      <c r="H17" s="21">
        <v>133165.79421958799</v>
      </c>
      <c r="I17" s="21">
        <v>130670.793928171</v>
      </c>
      <c r="J17" s="21">
        <v>128532.611927344</v>
      </c>
      <c r="K17" s="21">
        <v>126564.78766365</v>
      </c>
      <c r="L17" s="21">
        <v>124310.132504943</v>
      </c>
      <c r="M17" s="21">
        <v>125643.278753729</v>
      </c>
      <c r="N17" s="21">
        <f>AVERAGE(D17:M17)</f>
        <v>131723.72718354402</v>
      </c>
      <c r="O17" s="19"/>
      <c r="P17" s="21">
        <v>324103.00853367202</v>
      </c>
      <c r="Q17" s="21"/>
      <c r="R17" s="21"/>
      <c r="S17" s="21"/>
      <c r="T17" s="21"/>
      <c r="U17" s="21"/>
      <c r="V17" s="21"/>
      <c r="W17" s="21"/>
      <c r="X17" s="21"/>
      <c r="Y17" s="21"/>
    </row>
    <row r="18" spans="1:25" x14ac:dyDescent="0.25">
      <c r="A18" s="9"/>
      <c r="B18" s="5" t="s">
        <v>60</v>
      </c>
      <c r="C18" s="5" t="s">
        <v>55</v>
      </c>
      <c r="D18" s="21">
        <v>177260.01110319601</v>
      </c>
      <c r="E18" s="21">
        <v>176105.22273322201</v>
      </c>
      <c r="F18" s="21">
        <v>175277.85554781</v>
      </c>
      <c r="G18" s="21">
        <v>171594.21647810499</v>
      </c>
      <c r="H18" s="21">
        <v>173714.80397423499</v>
      </c>
      <c r="I18" s="21">
        <v>170519.888573378</v>
      </c>
      <c r="J18" s="21">
        <v>170377.55482824799</v>
      </c>
      <c r="K18" s="21">
        <v>170521.03092716099</v>
      </c>
      <c r="L18" s="21">
        <v>164676.36215389299</v>
      </c>
      <c r="M18" s="21">
        <v>164077.18599821001</v>
      </c>
      <c r="N18" s="21">
        <f>AVERAGE(D18:M18)</f>
        <v>171412.4132317458</v>
      </c>
      <c r="O18" s="19"/>
      <c r="P18" s="21">
        <v>332111.07089241099</v>
      </c>
      <c r="Q18" s="21"/>
      <c r="R18" s="21"/>
    </row>
    <row r="19" spans="1:25" x14ac:dyDescent="0.25">
      <c r="A19" s="9"/>
      <c r="B19" s="5"/>
      <c r="C19" s="5" t="s">
        <v>16</v>
      </c>
      <c r="D19" s="17">
        <f>(D18-D17)/D17</f>
        <v>0.26170376321451605</v>
      </c>
      <c r="E19" s="17">
        <f t="shared" ref="E19:N19" si="8">(E18-E17)/E17</f>
        <v>0.27504453639938142</v>
      </c>
      <c r="F19" s="17">
        <f t="shared" si="8"/>
        <v>0.29420707415875957</v>
      </c>
      <c r="G19" s="17">
        <f t="shared" si="8"/>
        <v>0.27761954284780854</v>
      </c>
      <c r="H19" s="17">
        <f t="shared" si="8"/>
        <v>0.30450019085068064</v>
      </c>
      <c r="I19" s="17">
        <f t="shared" si="8"/>
        <v>0.30495792860271309</v>
      </c>
      <c r="J19" s="17">
        <f t="shared" si="8"/>
        <v>0.32555895561009685</v>
      </c>
      <c r="K19" s="17">
        <f t="shared" si="8"/>
        <v>0.34730231113195653</v>
      </c>
      <c r="L19" s="17">
        <f t="shared" si="8"/>
        <v>0.32472195818265165</v>
      </c>
      <c r="M19" s="17">
        <f t="shared" si="8"/>
        <v>0.30589704141528007</v>
      </c>
      <c r="N19" s="17">
        <f t="shared" si="8"/>
        <v>0.30130248283135436</v>
      </c>
      <c r="O19" s="19"/>
      <c r="P19" s="21">
        <v>344426.920786748</v>
      </c>
      <c r="Q19" s="21"/>
      <c r="R19" s="21"/>
      <c r="S19" s="21"/>
      <c r="T19" s="21"/>
      <c r="U19" s="21"/>
      <c r="V19" s="21"/>
      <c r="W19" s="21"/>
      <c r="X19" s="21"/>
      <c r="Y19" s="21"/>
    </row>
    <row r="20" spans="1:25" x14ac:dyDescent="0.25">
      <c r="A20" s="9"/>
      <c r="B20" s="5" t="s">
        <v>34</v>
      </c>
      <c r="C20" s="5" t="s">
        <v>55</v>
      </c>
      <c r="D20" s="21">
        <v>313897.039364592</v>
      </c>
      <c r="E20" s="21">
        <v>311989.31493976898</v>
      </c>
      <c r="F20" s="21">
        <v>310372.73790852999</v>
      </c>
      <c r="G20" s="21">
        <v>309131.21003256203</v>
      </c>
      <c r="H20" s="21">
        <v>301614.77234411601</v>
      </c>
      <c r="I20" s="21">
        <v>305517.54909048701</v>
      </c>
      <c r="J20" s="21">
        <v>303464.70505503501</v>
      </c>
      <c r="K20" s="21">
        <v>301377.85781398398</v>
      </c>
      <c r="L20" s="21">
        <v>298662.55841299798</v>
      </c>
      <c r="M20" s="21">
        <v>300899.65485107503</v>
      </c>
      <c r="N20" s="21">
        <f t="shared" ref="N20:N23" si="9">AVERAGE(D20:M20)</f>
        <v>305692.73998131481</v>
      </c>
      <c r="O20" s="19"/>
      <c r="P20" s="1">
        <v>348428.54922908399</v>
      </c>
    </row>
    <row r="21" spans="1:25" x14ac:dyDescent="0.25">
      <c r="A21" s="9"/>
      <c r="B21" s="5"/>
      <c r="C21" s="5" t="s">
        <v>16</v>
      </c>
      <c r="D21" s="14">
        <f>(D20-D17)/D17</f>
        <v>1.2342606962696963</v>
      </c>
      <c r="E21" s="14">
        <f t="shared" ref="E21:M21" si="10">(E20-E17)/E17</f>
        <v>1.2588783299831907</v>
      </c>
      <c r="F21" s="14">
        <f t="shared" si="10"/>
        <v>1.2917133015566551</v>
      </c>
      <c r="G21" s="14">
        <f t="shared" si="10"/>
        <v>1.3016630941765261</v>
      </c>
      <c r="H21" s="14">
        <f t="shared" si="10"/>
        <v>1.2649568090042604</v>
      </c>
      <c r="I21" s="14">
        <f t="shared" si="10"/>
        <v>1.3380706576132713</v>
      </c>
      <c r="J21" s="14">
        <f t="shared" si="10"/>
        <v>1.3609938404315272</v>
      </c>
      <c r="K21" s="14">
        <f t="shared" si="10"/>
        <v>1.3812141068407222</v>
      </c>
      <c r="L21" s="14">
        <f t="shared" si="10"/>
        <v>1.4025600519822641</v>
      </c>
      <c r="M21" s="14">
        <f t="shared" si="10"/>
        <v>1.3948726731404606</v>
      </c>
      <c r="N21" s="17">
        <f t="shared" si="9"/>
        <v>1.3229183560998572</v>
      </c>
      <c r="O21" s="19"/>
      <c r="P21" s="1">
        <v>336263.29304373602</v>
      </c>
    </row>
    <row r="22" spans="1:25" x14ac:dyDescent="0.25">
      <c r="A22" s="9"/>
      <c r="B22" s="5" t="s">
        <v>35</v>
      </c>
      <c r="C22" s="5" t="s">
        <v>55</v>
      </c>
      <c r="D22" s="21">
        <v>296463.200890015</v>
      </c>
      <c r="E22" s="21">
        <v>298712.17307528201</v>
      </c>
      <c r="F22" s="21">
        <v>294654.28340133303</v>
      </c>
      <c r="G22" s="21">
        <v>300670.4471392</v>
      </c>
      <c r="H22" s="21">
        <v>292933.481606399</v>
      </c>
      <c r="I22" s="21">
        <v>289832.750334754</v>
      </c>
      <c r="J22" s="21">
        <v>284452.20517524</v>
      </c>
      <c r="K22" s="21">
        <v>286711.41693004698</v>
      </c>
      <c r="L22" s="21">
        <v>287154.42832758598</v>
      </c>
      <c r="M22" s="21">
        <v>284742.03514726</v>
      </c>
      <c r="N22" s="21">
        <f t="shared" si="9"/>
        <v>291632.64220271155</v>
      </c>
      <c r="O22" s="19"/>
    </row>
    <row r="23" spans="1:25" x14ac:dyDescent="0.25">
      <c r="A23" s="9"/>
      <c r="B23" s="5"/>
      <c r="C23" s="7" t="s">
        <v>16</v>
      </c>
      <c r="D23" s="15">
        <f>(D22-D17)/D17</f>
        <v>1.1101698792052532</v>
      </c>
      <c r="E23" s="15">
        <f t="shared" ref="E23:M23" si="11">(E22-E17)/E17</f>
        <v>1.1627486017981334</v>
      </c>
      <c r="F23" s="15">
        <f t="shared" si="11"/>
        <v>1.1756522340905022</v>
      </c>
      <c r="G23" s="15">
        <f t="shared" si="11"/>
        <v>1.238667754113068</v>
      </c>
      <c r="H23" s="15">
        <f t="shared" si="11"/>
        <v>1.1997652124039975</v>
      </c>
      <c r="I23" s="15">
        <f t="shared" si="11"/>
        <v>1.2180377238242959</v>
      </c>
      <c r="J23" s="15">
        <f t="shared" si="11"/>
        <v>1.2130741833522618</v>
      </c>
      <c r="K23" s="15">
        <f t="shared" si="11"/>
        <v>1.2653332117301994</v>
      </c>
      <c r="L23" s="15">
        <f t="shared" si="11"/>
        <v>1.309984090123689</v>
      </c>
      <c r="M23" s="15">
        <f t="shared" si="11"/>
        <v>1.2662735163524141</v>
      </c>
      <c r="N23" s="20">
        <f t="shared" si="9"/>
        <v>1.2159706406993813</v>
      </c>
      <c r="O23" s="19"/>
      <c r="P23" s="19">
        <v>339895.43716466503</v>
      </c>
      <c r="Q23" s="19">
        <v>331763.45322970202</v>
      </c>
      <c r="R23" s="19">
        <v>331494.15977756499</v>
      </c>
      <c r="S23" s="19">
        <v>350140.88068095001</v>
      </c>
      <c r="T23" s="19">
        <v>328541.60477087699</v>
      </c>
      <c r="U23" s="21">
        <v>324103.00853367202</v>
      </c>
      <c r="V23" s="21">
        <v>332111.07089241099</v>
      </c>
      <c r="W23" s="21">
        <v>344426.920786748</v>
      </c>
      <c r="X23" s="19">
        <v>348428.54922908399</v>
      </c>
      <c r="Y23" s="19">
        <v>336263.29304373602</v>
      </c>
    </row>
    <row r="24" spans="1:25" x14ac:dyDescent="0.25">
      <c r="A24" s="9" t="s">
        <v>31</v>
      </c>
      <c r="B24" s="5" t="s">
        <v>54</v>
      </c>
      <c r="C24" s="5" t="s">
        <v>55</v>
      </c>
      <c r="D24" s="21">
        <v>331505.98551387602</v>
      </c>
      <c r="E24" s="21">
        <v>332660.63466541201</v>
      </c>
      <c r="F24" s="21">
        <v>332118.02664984699</v>
      </c>
      <c r="G24" s="21">
        <v>328201.16608156601</v>
      </c>
      <c r="H24" s="21">
        <v>323598.45839078299</v>
      </c>
      <c r="I24" s="21">
        <v>326993.99999567098</v>
      </c>
      <c r="J24" s="21">
        <v>318404.65906234202</v>
      </c>
      <c r="K24" s="21">
        <v>324701.83996750799</v>
      </c>
      <c r="L24" s="21">
        <v>316990.89317151398</v>
      </c>
      <c r="M24" s="21">
        <v>317420.13824760198</v>
      </c>
      <c r="N24" s="21">
        <f>AVERAGE(D24:M24)</f>
        <v>325259.58017461211</v>
      </c>
      <c r="O24" s="19"/>
    </row>
    <row r="25" spans="1:25" x14ac:dyDescent="0.25">
      <c r="A25" s="9"/>
      <c r="B25" s="5" t="s">
        <v>60</v>
      </c>
      <c r="C25" s="5" t="s">
        <v>55</v>
      </c>
      <c r="D25" s="21">
        <v>357456.29661285598</v>
      </c>
      <c r="E25" s="21">
        <v>348681.36057079898</v>
      </c>
      <c r="F25" s="21">
        <v>351108.07461223903</v>
      </c>
      <c r="G25" s="21">
        <v>342833.05859546101</v>
      </c>
      <c r="H25" s="21">
        <v>350185.94842154399</v>
      </c>
      <c r="I25" s="21">
        <v>343751.45952876</v>
      </c>
      <c r="J25" s="21">
        <v>345473.20504046202</v>
      </c>
      <c r="K25" s="21">
        <v>342374.00105296797</v>
      </c>
      <c r="L25" s="21">
        <v>340884.66578937997</v>
      </c>
      <c r="M25" s="21">
        <v>343047.21508863999</v>
      </c>
      <c r="N25" s="21">
        <f>AVERAGE(D25:M25)</f>
        <v>346579.52853131085</v>
      </c>
      <c r="O25" s="19"/>
    </row>
    <row r="26" spans="1:25" x14ac:dyDescent="0.25">
      <c r="A26" s="9"/>
      <c r="B26" s="5"/>
      <c r="C26" s="5" t="s">
        <v>16</v>
      </c>
      <c r="D26" s="17">
        <f>(D25-D24)/D24</f>
        <v>7.8280068031814601E-2</v>
      </c>
      <c r="E26" s="17">
        <f t="shared" ref="E26:M26" si="12">(E25-E24)/E24</f>
        <v>4.8159367944152785E-2</v>
      </c>
      <c r="F26" s="17">
        <f t="shared" si="12"/>
        <v>5.71786125370825E-2</v>
      </c>
      <c r="G26" s="17">
        <f t="shared" si="12"/>
        <v>4.4582085702457912E-2</v>
      </c>
      <c r="H26" s="17">
        <f t="shared" si="12"/>
        <v>8.2161979890069473E-2</v>
      </c>
      <c r="I26" s="17">
        <f t="shared" si="12"/>
        <v>5.1246993930502895E-2</v>
      </c>
      <c r="J26" s="17">
        <f t="shared" si="12"/>
        <v>8.5013033596408896E-2</v>
      </c>
      <c r="K26" s="17">
        <f t="shared" si="12"/>
        <v>5.4425811345043165E-2</v>
      </c>
      <c r="L26" s="17">
        <f t="shared" si="12"/>
        <v>7.5376842466379032E-2</v>
      </c>
      <c r="M26" s="17">
        <f t="shared" si="12"/>
        <v>8.0735510300382202E-2</v>
      </c>
      <c r="N26" s="17">
        <f>(N25-N24)/N24</f>
        <v>6.554748777961697E-2</v>
      </c>
      <c r="O26" s="19"/>
    </row>
    <row r="27" spans="1:25" x14ac:dyDescent="0.25">
      <c r="A27" s="9"/>
      <c r="B27" s="5" t="s">
        <v>34</v>
      </c>
      <c r="C27" s="5" t="s">
        <v>55</v>
      </c>
      <c r="D27" s="21">
        <v>487341.00214271399</v>
      </c>
      <c r="E27" s="21">
        <v>482712.905880732</v>
      </c>
      <c r="F27" s="21">
        <v>480735.74905577803</v>
      </c>
      <c r="G27" s="21">
        <v>477660.05254976999</v>
      </c>
      <c r="H27" s="21">
        <v>479023.94900288997</v>
      </c>
      <c r="I27" s="21">
        <v>472537.35199236101</v>
      </c>
      <c r="J27" s="21">
        <v>474847.558694301</v>
      </c>
      <c r="K27" s="21">
        <v>468017.225050484</v>
      </c>
      <c r="L27" s="21">
        <v>469128.70102043601</v>
      </c>
      <c r="M27" s="21">
        <v>466704.51736402098</v>
      </c>
      <c r="N27" s="21">
        <f t="shared" ref="N27:N30" si="13">AVERAGE(D27:M27)</f>
        <v>475870.90127534873</v>
      </c>
      <c r="O27" s="19"/>
    </row>
    <row r="28" spans="1:25" x14ac:dyDescent="0.25">
      <c r="A28" s="9"/>
      <c r="B28" s="5"/>
      <c r="C28" s="5" t="s">
        <v>16</v>
      </c>
      <c r="D28" s="14">
        <f>(D27-D24)/D24</f>
        <v>0.47008206016936338</v>
      </c>
      <c r="E28" s="14">
        <f t="shared" ref="E28:M28" si="14">(E27-E24)/E24</f>
        <v>0.45106711037884484</v>
      </c>
      <c r="F28" s="14">
        <f t="shared" si="14"/>
        <v>0.44748466051383334</v>
      </c>
      <c r="G28" s="14">
        <f t="shared" si="14"/>
        <v>0.45538804219562029</v>
      </c>
      <c r="H28" s="14">
        <f t="shared" si="14"/>
        <v>0.48030355702255084</v>
      </c>
      <c r="I28" s="14">
        <f t="shared" si="14"/>
        <v>0.44509487023803757</v>
      </c>
      <c r="J28" s="14">
        <f t="shared" si="14"/>
        <v>0.49133357562248564</v>
      </c>
      <c r="K28" s="14">
        <f t="shared" si="14"/>
        <v>0.44137534021155284</v>
      </c>
      <c r="L28" s="14">
        <f t="shared" si="14"/>
        <v>0.47994378111867386</v>
      </c>
      <c r="M28" s="14">
        <f t="shared" si="14"/>
        <v>0.4703053181835945</v>
      </c>
      <c r="N28" s="17">
        <f t="shared" si="13"/>
        <v>0.46323783156545578</v>
      </c>
    </row>
    <row r="29" spans="1:25" x14ac:dyDescent="0.25">
      <c r="A29" s="9"/>
      <c r="B29" s="5" t="s">
        <v>35</v>
      </c>
      <c r="C29" s="5" t="s">
        <v>55</v>
      </c>
      <c r="D29" s="21">
        <v>457086.11972439301</v>
      </c>
      <c r="E29" s="21">
        <v>452956.28117769799</v>
      </c>
      <c r="F29" s="21">
        <v>455572.76342157798</v>
      </c>
      <c r="G29" s="21">
        <v>447836.16072945</v>
      </c>
      <c r="H29" s="21">
        <v>447582.06629122997</v>
      </c>
      <c r="I29" s="21">
        <v>446307.95922475797</v>
      </c>
      <c r="J29" s="21">
        <v>440476.45271726098</v>
      </c>
      <c r="K29" s="21">
        <v>443586.073223377</v>
      </c>
      <c r="L29" s="21">
        <v>441935.00772549899</v>
      </c>
      <c r="M29" s="21">
        <v>443430.55310974602</v>
      </c>
      <c r="N29" s="21">
        <f t="shared" si="13"/>
        <v>447676.94373449899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x14ac:dyDescent="0.25">
      <c r="A30" s="10"/>
      <c r="B30" s="7"/>
      <c r="C30" s="7" t="s">
        <v>16</v>
      </c>
      <c r="D30" s="15">
        <f>(D29-D24)/D24</f>
        <v>0.37881709440585809</v>
      </c>
      <c r="E30" s="15">
        <f t="shared" ref="E30:M30" si="15">(E29-E24)/E24</f>
        <v>0.36161671678790186</v>
      </c>
      <c r="F30" s="15">
        <f t="shared" si="15"/>
        <v>0.37171946978322162</v>
      </c>
      <c r="G30" s="15">
        <f t="shared" si="15"/>
        <v>0.36451727480502544</v>
      </c>
      <c r="H30" s="15">
        <f t="shared" si="15"/>
        <v>0.38314029219113976</v>
      </c>
      <c r="I30" s="15">
        <f t="shared" si="15"/>
        <v>0.3648811881278145</v>
      </c>
      <c r="J30" s="15">
        <f t="shared" si="15"/>
        <v>0.383385701749477</v>
      </c>
      <c r="K30" s="15">
        <f t="shared" si="15"/>
        <v>0.36613353736389492</v>
      </c>
      <c r="L30" s="15">
        <f t="shared" si="15"/>
        <v>0.39415679518080543</v>
      </c>
      <c r="M30" s="15">
        <f t="shared" si="15"/>
        <v>0.39698305078504581</v>
      </c>
      <c r="N30" s="20">
        <f t="shared" si="13"/>
        <v>0.37653511211801838</v>
      </c>
    </row>
    <row r="31" spans="1:25" x14ac:dyDescent="0.25"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x14ac:dyDescent="0.25"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9" x14ac:dyDescent="0.25">
      <c r="A33" s="8"/>
      <c r="B33" s="12"/>
      <c r="C33" s="12"/>
      <c r="D33" s="12">
        <v>0</v>
      </c>
      <c r="E33" s="12">
        <v>10</v>
      </c>
      <c r="F33" s="12">
        <v>20</v>
      </c>
      <c r="G33" s="12">
        <v>30</v>
      </c>
      <c r="H33" s="12">
        <v>40</v>
      </c>
      <c r="I33" s="12">
        <v>50</v>
      </c>
      <c r="J33" s="12">
        <v>60</v>
      </c>
      <c r="K33" s="12">
        <v>70</v>
      </c>
      <c r="L33" s="12">
        <v>80</v>
      </c>
      <c r="M33" s="12">
        <v>90</v>
      </c>
      <c r="N33" s="18" t="s">
        <v>21</v>
      </c>
      <c r="P33" s="8"/>
      <c r="Q33" s="12"/>
      <c r="R33" s="12"/>
      <c r="S33" s="12">
        <v>0</v>
      </c>
      <c r="T33" s="12">
        <v>10</v>
      </c>
      <c r="U33" s="12">
        <v>20</v>
      </c>
      <c r="V33" s="12">
        <v>30</v>
      </c>
      <c r="W33" s="12">
        <v>40</v>
      </c>
      <c r="X33" s="12">
        <v>50</v>
      </c>
      <c r="Y33" s="12">
        <v>60</v>
      </c>
      <c r="Z33" s="12">
        <v>70</v>
      </c>
      <c r="AA33" s="12">
        <v>80</v>
      </c>
      <c r="AB33" s="12">
        <v>90</v>
      </c>
      <c r="AC33" s="18" t="s">
        <v>21</v>
      </c>
    </row>
    <row r="34" spans="1:29" x14ac:dyDescent="0.25">
      <c r="A34" s="9" t="s">
        <v>39</v>
      </c>
      <c r="B34" s="5" t="s">
        <v>54</v>
      </c>
      <c r="C34" s="5" t="s">
        <v>55</v>
      </c>
      <c r="D34" s="21">
        <v>54261.007249132199</v>
      </c>
      <c r="E34" s="21">
        <v>51085.958698767703</v>
      </c>
      <c r="F34" s="21">
        <v>47691.486559994701</v>
      </c>
      <c r="G34" s="21">
        <v>51572.205053953498</v>
      </c>
      <c r="H34" s="21">
        <v>50913.970474159702</v>
      </c>
      <c r="I34" s="21">
        <v>48917.500522812697</v>
      </c>
      <c r="J34" s="21">
        <v>49789.387321265</v>
      </c>
      <c r="K34" s="21">
        <v>48045.5304128477</v>
      </c>
      <c r="L34" s="21">
        <v>51122.972417808203</v>
      </c>
      <c r="M34" s="21">
        <v>48793.434110604401</v>
      </c>
      <c r="N34" s="23">
        <f>AVERAGE(D34:M34)</f>
        <v>50219.345282134585</v>
      </c>
      <c r="P34" s="9" t="s">
        <v>39</v>
      </c>
      <c r="Q34" s="5" t="s">
        <v>54</v>
      </c>
      <c r="R34" s="5" t="s">
        <v>55</v>
      </c>
      <c r="S34" s="21">
        <v>54261.007249132199</v>
      </c>
      <c r="T34" s="21">
        <v>51085.958698767703</v>
      </c>
      <c r="U34" s="21">
        <v>47691.486559994701</v>
      </c>
      <c r="V34" s="21">
        <v>51572.205053953498</v>
      </c>
      <c r="W34" s="21">
        <v>50913.970474159702</v>
      </c>
      <c r="X34" s="21">
        <v>48917.500522812697</v>
      </c>
      <c r="Y34" s="21">
        <v>49789.387321265</v>
      </c>
      <c r="Z34" s="21">
        <v>48045.5304128477</v>
      </c>
      <c r="AA34" s="21">
        <v>51122.972417808203</v>
      </c>
      <c r="AB34" s="21">
        <v>48793.434110604401</v>
      </c>
      <c r="AC34" s="23">
        <v>50219.345282134585</v>
      </c>
    </row>
    <row r="35" spans="1:29" x14ac:dyDescent="0.25">
      <c r="A35" s="9"/>
      <c r="B35" s="5" t="s">
        <v>56</v>
      </c>
      <c r="C35" s="5" t="s">
        <v>55</v>
      </c>
      <c r="D35" s="21">
        <v>88984.683797242105</v>
      </c>
      <c r="E35" s="21">
        <v>83560.831419704104</v>
      </c>
      <c r="F35" s="21">
        <v>82096.863283656305</v>
      </c>
      <c r="G35" s="21">
        <v>81600.019104948005</v>
      </c>
      <c r="H35" s="21">
        <v>79868.676166244797</v>
      </c>
      <c r="I35" s="21">
        <v>82540.590835636496</v>
      </c>
      <c r="J35" s="21">
        <v>80077.515242309004</v>
      </c>
      <c r="K35" s="21">
        <v>80784.128244223306</v>
      </c>
      <c r="L35" s="21">
        <v>83041.0403290416</v>
      </c>
      <c r="M35" s="21">
        <v>78274.944989443902</v>
      </c>
      <c r="N35" s="23">
        <f>AVERAGE(D35:M35)</f>
        <v>82082.929341244948</v>
      </c>
      <c r="P35" s="9"/>
      <c r="Q35" s="5" t="s">
        <v>56</v>
      </c>
      <c r="R35" s="5" t="s">
        <v>16</v>
      </c>
      <c r="S35" s="17">
        <v>0.63993792796143212</v>
      </c>
      <c r="T35" s="17">
        <v>0.63569077586322675</v>
      </c>
      <c r="U35" s="17">
        <v>0.72141548115470244</v>
      </c>
      <c r="V35" s="17">
        <v>0.58224801556536487</v>
      </c>
      <c r="W35" s="17">
        <v>0.56869863855501979</v>
      </c>
      <c r="X35" s="17">
        <v>0.68734277004082933</v>
      </c>
      <c r="Y35" s="17">
        <v>0.60832497748185732</v>
      </c>
      <c r="Z35" s="17">
        <v>0.6814077719625109</v>
      </c>
      <c r="AA35" s="17">
        <v>0.62433904762773618</v>
      </c>
      <c r="AB35" s="17">
        <v>0.60421061596138426</v>
      </c>
      <c r="AC35" s="17">
        <v>0.63448824113694202</v>
      </c>
    </row>
    <row r="36" spans="1:29" x14ac:dyDescent="0.25">
      <c r="A36" s="9"/>
      <c r="B36" s="5"/>
      <c r="C36" s="5" t="s">
        <v>16</v>
      </c>
      <c r="D36" s="17">
        <f>(D35-D34)/D34</f>
        <v>0.63993792796143212</v>
      </c>
      <c r="E36" s="17">
        <f t="shared" ref="E36:N36" si="16">(E35-E34)/E34</f>
        <v>0.63569077586322675</v>
      </c>
      <c r="F36" s="17">
        <f t="shared" si="16"/>
        <v>0.72141548115470244</v>
      </c>
      <c r="G36" s="17">
        <f t="shared" si="16"/>
        <v>0.58224801556536487</v>
      </c>
      <c r="H36" s="17">
        <f t="shared" si="16"/>
        <v>0.56869863855501979</v>
      </c>
      <c r="I36" s="17">
        <f t="shared" si="16"/>
        <v>0.68734277004082933</v>
      </c>
      <c r="J36" s="17">
        <f t="shared" si="16"/>
        <v>0.60832497748185732</v>
      </c>
      <c r="K36" s="17">
        <f t="shared" si="16"/>
        <v>0.6814077719625109</v>
      </c>
      <c r="L36" s="17">
        <f t="shared" si="16"/>
        <v>0.62433904762773618</v>
      </c>
      <c r="M36" s="17">
        <f t="shared" si="16"/>
        <v>0.60421061596138426</v>
      </c>
      <c r="N36" s="17">
        <f t="shared" si="16"/>
        <v>0.63448824113694202</v>
      </c>
      <c r="P36" s="9"/>
      <c r="Q36" s="5" t="s">
        <v>34</v>
      </c>
      <c r="R36" s="5" t="s">
        <v>16</v>
      </c>
      <c r="S36" s="14">
        <v>1.7737407906810292</v>
      </c>
      <c r="T36" s="14">
        <v>1.8659470469225372</v>
      </c>
      <c r="U36" s="14">
        <v>1.9617491149317341</v>
      </c>
      <c r="V36" s="14">
        <v>1.7481203195955324</v>
      </c>
      <c r="W36" s="14">
        <v>1.6580174378163643</v>
      </c>
      <c r="X36" s="14">
        <v>1.8738315510319492</v>
      </c>
      <c r="Y36" s="14">
        <v>1.91666348486042</v>
      </c>
      <c r="Z36" s="14">
        <v>2.0064593824471322</v>
      </c>
      <c r="AA36" s="14">
        <v>1.8571129671152289</v>
      </c>
      <c r="AB36" s="14">
        <v>1.9639812243187191</v>
      </c>
      <c r="AC36" s="17">
        <v>1.8625623319720646</v>
      </c>
    </row>
    <row r="37" spans="1:29" x14ac:dyDescent="0.25">
      <c r="A37" s="9"/>
      <c r="B37" s="5" t="s">
        <v>34</v>
      </c>
      <c r="C37" s="5" t="s">
        <v>55</v>
      </c>
      <c r="D37" s="21">
        <v>150505.96915035701</v>
      </c>
      <c r="E37" s="21">
        <v>146409.65247194</v>
      </c>
      <c r="F37" s="21">
        <v>141250.21810884299</v>
      </c>
      <c r="G37" s="21">
        <v>141726.62463511701</v>
      </c>
      <c r="H37" s="21">
        <v>135330.22134878399</v>
      </c>
      <c r="I37" s="21">
        <v>140580.656400081</v>
      </c>
      <c r="J37" s="21">
        <v>145218.88793350599</v>
      </c>
      <c r="K37" s="21">
        <v>144446.93569435499</v>
      </c>
      <c r="L37" s="21">
        <v>146064.10741239399</v>
      </c>
      <c r="M37" s="21">
        <v>144622.82257386399</v>
      </c>
      <c r="N37" s="23">
        <f t="shared" ref="N37:N40" si="17">AVERAGE(D37:M37)</f>
        <v>143615.60957292406</v>
      </c>
      <c r="P37" s="9"/>
      <c r="Q37" s="5" t="s">
        <v>35</v>
      </c>
      <c r="R37" s="7" t="s">
        <v>16</v>
      </c>
      <c r="S37" s="15">
        <v>3.1822952166945702</v>
      </c>
      <c r="T37" s="15">
        <v>3.276278071898505</v>
      </c>
      <c r="U37" s="15">
        <v>3.5928254592510931</v>
      </c>
      <c r="V37" s="15">
        <v>3.2258187368146332</v>
      </c>
      <c r="W37" s="15">
        <v>3.2457590468721484</v>
      </c>
      <c r="X37" s="15">
        <v>3.4466749252948303</v>
      </c>
      <c r="Y37" s="15">
        <v>3.0552104324063647</v>
      </c>
      <c r="Z37" s="15">
        <v>3.4948993903094028</v>
      </c>
      <c r="AA37" s="15">
        <v>3.0365779766303027</v>
      </c>
      <c r="AB37" s="15">
        <v>3.1619885818988216</v>
      </c>
      <c r="AC37" s="20">
        <v>3.2718327838070671</v>
      </c>
    </row>
    <row r="38" spans="1:29" x14ac:dyDescent="0.25">
      <c r="A38" s="9"/>
      <c r="B38" s="5"/>
      <c r="C38" s="5" t="s">
        <v>16</v>
      </c>
      <c r="D38" s="14">
        <f t="shared" ref="D38:M38" si="18">(D37-D34)/D34</f>
        <v>1.7737407906810292</v>
      </c>
      <c r="E38" s="14">
        <f t="shared" si="18"/>
        <v>1.8659470469225372</v>
      </c>
      <c r="F38" s="14">
        <f t="shared" si="18"/>
        <v>1.9617491149317341</v>
      </c>
      <c r="G38" s="14">
        <f t="shared" si="18"/>
        <v>1.7481203195955324</v>
      </c>
      <c r="H38" s="14">
        <f t="shared" si="18"/>
        <v>1.6580174378163643</v>
      </c>
      <c r="I38" s="14">
        <f t="shared" si="18"/>
        <v>1.8738315510319492</v>
      </c>
      <c r="J38" s="14">
        <f t="shared" si="18"/>
        <v>1.91666348486042</v>
      </c>
      <c r="K38" s="14">
        <f t="shared" si="18"/>
        <v>2.0064593824471322</v>
      </c>
      <c r="L38" s="14">
        <f t="shared" si="18"/>
        <v>1.8571129671152289</v>
      </c>
      <c r="M38" s="14">
        <f t="shared" si="18"/>
        <v>1.9639812243187191</v>
      </c>
      <c r="N38" s="17">
        <f t="shared" si="17"/>
        <v>1.8625623319720646</v>
      </c>
      <c r="P38" s="9" t="s">
        <v>40</v>
      </c>
      <c r="Q38" s="5" t="s">
        <v>54</v>
      </c>
      <c r="R38" s="5" t="s">
        <v>55</v>
      </c>
      <c r="S38" s="21">
        <v>128271.66704232599</v>
      </c>
      <c r="T38" s="21">
        <v>123657.985902748</v>
      </c>
      <c r="U38" s="21">
        <v>121926.00009260701</v>
      </c>
      <c r="V38" s="21">
        <v>122628.53303221799</v>
      </c>
      <c r="W38" s="21">
        <v>123097.98482153899</v>
      </c>
      <c r="X38" s="21">
        <v>121983.104961944</v>
      </c>
      <c r="Y38" s="21">
        <v>121552.681581621</v>
      </c>
      <c r="Z38" s="21">
        <v>125504.98901480599</v>
      </c>
      <c r="AA38" s="21">
        <v>121550.215857799</v>
      </c>
      <c r="AB38" s="21">
        <v>122193.62656914</v>
      </c>
      <c r="AC38" s="21">
        <v>123236.67888767479</v>
      </c>
    </row>
    <row r="39" spans="1:29" x14ac:dyDescent="0.25">
      <c r="A39" s="9"/>
      <c r="B39" s="5" t="s">
        <v>35</v>
      </c>
      <c r="C39" s="5" t="s">
        <v>55</v>
      </c>
      <c r="D39" s="21">
        <v>226935.55107107499</v>
      </c>
      <c r="E39" s="21">
        <v>218457.76496545301</v>
      </c>
      <c r="F39" s="21">
        <v>219038.67366227499</v>
      </c>
      <c r="G39" s="21">
        <v>217934.79041584299</v>
      </c>
      <c r="H39" s="21">
        <v>216168.450752845</v>
      </c>
      <c r="I39" s="21">
        <v>217520.22298288799</v>
      </c>
      <c r="J39" s="21">
        <v>201906.44288831501</v>
      </c>
      <c r="K39" s="21">
        <v>215959.82535980101</v>
      </c>
      <c r="L39" s="21">
        <v>206361.864561603</v>
      </c>
      <c r="M39" s="21">
        <v>203077.715639968</v>
      </c>
      <c r="N39" s="23">
        <f t="shared" si="17"/>
        <v>214336.13023000659</v>
      </c>
      <c r="P39" s="9"/>
      <c r="Q39" s="5" t="s">
        <v>56</v>
      </c>
      <c r="R39" s="5" t="s">
        <v>16</v>
      </c>
      <c r="S39" s="17">
        <v>0.23841397141878501</v>
      </c>
      <c r="T39" s="17">
        <v>0.28544780332737557</v>
      </c>
      <c r="U39" s="17">
        <v>0.29242512970930218</v>
      </c>
      <c r="V39" s="17">
        <v>0.28987883059987923</v>
      </c>
      <c r="W39" s="17">
        <v>0.27082531512117575</v>
      </c>
      <c r="X39" s="17">
        <v>0.2557018545717949</v>
      </c>
      <c r="Y39" s="17">
        <v>0.21171529647902995</v>
      </c>
      <c r="Z39" s="17">
        <v>0.22789034387353999</v>
      </c>
      <c r="AA39" s="17">
        <v>0.29731874315099532</v>
      </c>
      <c r="AB39" s="17">
        <v>0.24862673237457231</v>
      </c>
      <c r="AC39" s="17">
        <v>0.26166426779272112</v>
      </c>
    </row>
    <row r="40" spans="1:29" x14ac:dyDescent="0.25">
      <c r="A40" s="9"/>
      <c r="B40" s="5"/>
      <c r="C40" s="7" t="s">
        <v>16</v>
      </c>
      <c r="D40" s="15">
        <f t="shared" ref="D40:M40" si="19">(D39-D34)/D34</f>
        <v>3.1822952166945702</v>
      </c>
      <c r="E40" s="15">
        <f t="shared" si="19"/>
        <v>3.276278071898505</v>
      </c>
      <c r="F40" s="15">
        <f t="shared" si="19"/>
        <v>3.5928254592510931</v>
      </c>
      <c r="G40" s="15">
        <f t="shared" si="19"/>
        <v>3.2258187368146332</v>
      </c>
      <c r="H40" s="15">
        <f t="shared" si="19"/>
        <v>3.2457590468721484</v>
      </c>
      <c r="I40" s="15">
        <f t="shared" si="19"/>
        <v>3.4466749252948303</v>
      </c>
      <c r="J40" s="15">
        <f t="shared" si="19"/>
        <v>3.0552104324063647</v>
      </c>
      <c r="K40" s="15">
        <f t="shared" si="19"/>
        <v>3.4948993903094028</v>
      </c>
      <c r="L40" s="15">
        <f t="shared" si="19"/>
        <v>3.0365779766303027</v>
      </c>
      <c r="M40" s="15">
        <f t="shared" si="19"/>
        <v>3.1619885818988216</v>
      </c>
      <c r="N40" s="20">
        <f t="shared" si="17"/>
        <v>3.2718327838070671</v>
      </c>
      <c r="P40" s="9"/>
      <c r="Q40" s="5" t="s">
        <v>34</v>
      </c>
      <c r="R40" s="5" t="s">
        <v>16</v>
      </c>
      <c r="S40" s="14">
        <v>0.85929795472029191</v>
      </c>
      <c r="T40" s="14">
        <v>0.88785331713030247</v>
      </c>
      <c r="U40" s="14">
        <v>0.96453671544366371</v>
      </c>
      <c r="V40" s="14">
        <v>0.92264575002465554</v>
      </c>
      <c r="W40" s="14">
        <v>0.95371200676528056</v>
      </c>
      <c r="X40" s="14">
        <v>0.91602963829933182</v>
      </c>
      <c r="Y40" s="14">
        <v>0.99731177438557317</v>
      </c>
      <c r="Z40" s="14">
        <v>0.91566027688083984</v>
      </c>
      <c r="AA40" s="14">
        <v>0.93900664884077767</v>
      </c>
      <c r="AB40" s="14">
        <v>0.99440762186308174</v>
      </c>
      <c r="AC40" s="17">
        <v>0.93504617043537974</v>
      </c>
    </row>
    <row r="41" spans="1:29" x14ac:dyDescent="0.25">
      <c r="A41" s="9" t="s">
        <v>40</v>
      </c>
      <c r="B41" s="5" t="s">
        <v>54</v>
      </c>
      <c r="C41" s="5" t="s">
        <v>55</v>
      </c>
      <c r="D41" s="21">
        <v>128271.66704232599</v>
      </c>
      <c r="E41" s="21">
        <v>123657.985902748</v>
      </c>
      <c r="F41" s="21">
        <v>121926.00009260701</v>
      </c>
      <c r="G41" s="21">
        <v>122628.53303221799</v>
      </c>
      <c r="H41" s="21">
        <v>123097.98482153899</v>
      </c>
      <c r="I41" s="21">
        <v>121983.104961944</v>
      </c>
      <c r="J41" s="21">
        <v>121552.681581621</v>
      </c>
      <c r="K41" s="21">
        <v>125504.98901480599</v>
      </c>
      <c r="L41" s="21">
        <v>121550.215857799</v>
      </c>
      <c r="M41" s="21">
        <v>122193.62656914</v>
      </c>
      <c r="N41" s="21">
        <f>AVERAGE(D41:M41)</f>
        <v>123236.67888767479</v>
      </c>
      <c r="P41" s="9"/>
      <c r="Q41" s="5" t="s">
        <v>35</v>
      </c>
      <c r="R41" s="7" t="s">
        <v>16</v>
      </c>
      <c r="S41" s="15">
        <v>1.4486163652414592</v>
      </c>
      <c r="T41" s="15">
        <v>1.5302119741193276</v>
      </c>
      <c r="U41" s="15">
        <v>1.5487842455418512</v>
      </c>
      <c r="V41" s="15">
        <v>1.5084172871541801</v>
      </c>
      <c r="W41" s="15">
        <v>1.4253303446943657</v>
      </c>
      <c r="X41" s="15">
        <v>1.5466165258994844</v>
      </c>
      <c r="Y41" s="15">
        <v>1.5827950507266817</v>
      </c>
      <c r="Z41" s="15">
        <v>1.4631964802458803</v>
      </c>
      <c r="AA41" s="15">
        <v>1.5438910716143677</v>
      </c>
      <c r="AB41" s="15">
        <v>1.5202030666511659</v>
      </c>
      <c r="AC41" s="20">
        <v>1.5118062411888764</v>
      </c>
    </row>
    <row r="42" spans="1:29" x14ac:dyDescent="0.25">
      <c r="A42" s="9"/>
      <c r="B42" s="5" t="s">
        <v>56</v>
      </c>
      <c r="C42" s="5" t="s">
        <v>55</v>
      </c>
      <c r="D42" s="21">
        <v>158853.42460239501</v>
      </c>
      <c r="E42" s="21">
        <v>158955.88634257499</v>
      </c>
      <c r="F42" s="21">
        <v>157580.226484624</v>
      </c>
      <c r="G42" s="21">
        <v>158175.94878577601</v>
      </c>
      <c r="H42" s="21">
        <v>156436.035351614</v>
      </c>
      <c r="I42" s="21">
        <v>153174.411127139</v>
      </c>
      <c r="J42" s="21">
        <v>147287.24360049501</v>
      </c>
      <c r="K42" s="21">
        <v>154106.36411923499</v>
      </c>
      <c r="L42" s="21">
        <v>157689.37326637199</v>
      </c>
      <c r="M42" s="21">
        <v>152574.228660024</v>
      </c>
      <c r="N42" s="21">
        <f>AVERAGE(D42:M42)</f>
        <v>155483.3142340249</v>
      </c>
      <c r="P42" s="9" t="s">
        <v>57</v>
      </c>
      <c r="Q42" s="5" t="s">
        <v>54</v>
      </c>
      <c r="R42" s="5" t="s">
        <v>55</v>
      </c>
      <c r="S42" s="21">
        <v>202759.35693552499</v>
      </c>
      <c r="T42" s="21">
        <v>201507.83526907</v>
      </c>
      <c r="U42" s="21">
        <v>204903.694532761</v>
      </c>
      <c r="V42" s="21">
        <v>199349.68737544501</v>
      </c>
      <c r="W42" s="21">
        <v>211343.41809561499</v>
      </c>
      <c r="X42" s="21">
        <v>197587.961694486</v>
      </c>
      <c r="Y42" s="21">
        <v>196789.70264020801</v>
      </c>
      <c r="Z42" s="21">
        <v>197603.198872234</v>
      </c>
      <c r="AA42" s="21">
        <v>194840.88616629201</v>
      </c>
      <c r="AB42" s="21">
        <v>205354.49692700501</v>
      </c>
      <c r="AC42" s="23">
        <v>201204.02385086409</v>
      </c>
    </row>
    <row r="43" spans="1:29" x14ac:dyDescent="0.25">
      <c r="A43" s="9"/>
      <c r="B43" s="5"/>
      <c r="C43" s="5" t="s">
        <v>16</v>
      </c>
      <c r="D43" s="17">
        <f>(D42-D41)/D41</f>
        <v>0.23841397141878501</v>
      </c>
      <c r="E43" s="17">
        <f t="shared" ref="E43:N43" si="20">(E42-E41)/E41</f>
        <v>0.28544780332737557</v>
      </c>
      <c r="F43" s="17">
        <f t="shared" si="20"/>
        <v>0.29242512970930218</v>
      </c>
      <c r="G43" s="17">
        <f t="shared" si="20"/>
        <v>0.28987883059987923</v>
      </c>
      <c r="H43" s="17">
        <f t="shared" si="20"/>
        <v>0.27082531512117575</v>
      </c>
      <c r="I43" s="17">
        <f t="shared" si="20"/>
        <v>0.2557018545717949</v>
      </c>
      <c r="J43" s="17">
        <f t="shared" si="20"/>
        <v>0.21171529647902995</v>
      </c>
      <c r="K43" s="17">
        <f t="shared" si="20"/>
        <v>0.22789034387353999</v>
      </c>
      <c r="L43" s="17">
        <f t="shared" si="20"/>
        <v>0.29731874315099532</v>
      </c>
      <c r="M43" s="17">
        <f t="shared" si="20"/>
        <v>0.24862673237457231</v>
      </c>
      <c r="N43" s="17">
        <f t="shared" si="20"/>
        <v>0.26166426779272112</v>
      </c>
      <c r="P43" s="9"/>
      <c r="Q43" s="5" t="s">
        <v>56</v>
      </c>
      <c r="R43" s="5" t="s">
        <v>16</v>
      </c>
      <c r="S43" s="17">
        <v>0.30301646328281662</v>
      </c>
      <c r="T43" s="17">
        <v>0.27498611991893751</v>
      </c>
      <c r="U43" s="17">
        <v>0.30933944346296177</v>
      </c>
      <c r="V43" s="17">
        <v>0.2665493189219022</v>
      </c>
      <c r="W43" s="17">
        <v>0.20254461391943002</v>
      </c>
      <c r="X43" s="17">
        <v>0.27381162689628985</v>
      </c>
      <c r="Y43" s="17">
        <v>0.24255556462095759</v>
      </c>
      <c r="Z43" s="17">
        <v>0.26102111601541744</v>
      </c>
      <c r="AA43" s="17">
        <v>0.22951796529114529</v>
      </c>
      <c r="AB43" s="17">
        <v>0.15051429825941809</v>
      </c>
      <c r="AC43" s="17">
        <v>0.25109849122221289</v>
      </c>
    </row>
    <row r="44" spans="1:29" ht="14.4" customHeight="1" x14ac:dyDescent="0.25">
      <c r="A44" s="9"/>
      <c r="B44" s="5" t="s">
        <v>34</v>
      </c>
      <c r="C44" s="5" t="s">
        <v>55</v>
      </c>
      <c r="D44" s="21">
        <v>238495.24818035899</v>
      </c>
      <c r="E44" s="21">
        <v>233448.13887615499</v>
      </c>
      <c r="F44" s="21">
        <v>239528.103749114</v>
      </c>
      <c r="G44" s="21">
        <v>235771.22786615201</v>
      </c>
      <c r="H44" s="21">
        <v>240498.01095445099</v>
      </c>
      <c r="I44" s="21">
        <v>233723.24447886299</v>
      </c>
      <c r="J44" s="21">
        <v>242778.60213111201</v>
      </c>
      <c r="K44" s="21">
        <v>240424.92200603001</v>
      </c>
      <c r="L44" s="21">
        <v>235686.67671630401</v>
      </c>
      <c r="M44" s="21">
        <v>243703.90017258399</v>
      </c>
      <c r="N44" s="21">
        <f>AVERAGE(D44:M44)</f>
        <v>238405.80751311238</v>
      </c>
      <c r="O44" s="19"/>
      <c r="P44" s="9"/>
      <c r="Q44" s="5" t="s">
        <v>34</v>
      </c>
      <c r="R44" s="5" t="s">
        <v>16</v>
      </c>
      <c r="S44" s="14">
        <v>1.137362283856717</v>
      </c>
      <c r="T44" s="14">
        <v>1.1190766660329907</v>
      </c>
      <c r="U44" s="14">
        <v>1.1438130194884972</v>
      </c>
      <c r="V44" s="14">
        <v>1.1740414795775675</v>
      </c>
      <c r="W44" s="14">
        <v>1.0495192571585845</v>
      </c>
      <c r="X44" s="14">
        <v>1.0971636617292042</v>
      </c>
      <c r="Y44" s="14">
        <v>1.0831270547822232</v>
      </c>
      <c r="Z44" s="14">
        <v>1.1486808923280454</v>
      </c>
      <c r="AA44" s="14">
        <v>1.2234724706955518</v>
      </c>
      <c r="AB44" s="14">
        <v>1.064508078484377</v>
      </c>
      <c r="AC44" s="17">
        <v>1.1240764864133757</v>
      </c>
    </row>
    <row r="45" spans="1:29" x14ac:dyDescent="0.25">
      <c r="A45" s="9"/>
      <c r="B45" s="5"/>
      <c r="C45" s="5" t="s">
        <v>16</v>
      </c>
      <c r="D45" s="14">
        <f>(D44-D41)/D41</f>
        <v>0.85929795472029191</v>
      </c>
      <c r="E45" s="14">
        <f>(E44-E41)/E41</f>
        <v>0.88785331713030247</v>
      </c>
      <c r="F45" s="14">
        <f>(F44-F41)/F41</f>
        <v>0.96453671544366371</v>
      </c>
      <c r="G45" s="14">
        <f>(G44-G41)/G41</f>
        <v>0.92264575002465554</v>
      </c>
      <c r="H45" s="14">
        <f>(H44-H41)/H41</f>
        <v>0.95371200676528056</v>
      </c>
      <c r="I45" s="14">
        <f>(I44-I41)/I41</f>
        <v>0.91602963829933182</v>
      </c>
      <c r="J45" s="14">
        <f>(J44-J41)/J41</f>
        <v>0.99731177438557317</v>
      </c>
      <c r="K45" s="14">
        <f>(K44-K41)/K41</f>
        <v>0.91566027688083984</v>
      </c>
      <c r="L45" s="14">
        <f>(L44-L41)/L41</f>
        <v>0.93900664884077767</v>
      </c>
      <c r="M45" s="14">
        <f>(M44-M41)/M41</f>
        <v>0.99440762186308174</v>
      </c>
      <c r="N45" s="17">
        <f>AVERAGE(D45:M45)</f>
        <v>0.93504617043537974</v>
      </c>
      <c r="O45" s="24"/>
      <c r="P45" s="9"/>
      <c r="Q45" s="5" t="s">
        <v>35</v>
      </c>
      <c r="R45" s="7" t="s">
        <v>16</v>
      </c>
      <c r="S45" s="15">
        <v>1.5832100235112327</v>
      </c>
      <c r="T45" s="15">
        <v>1.6586266236841178</v>
      </c>
      <c r="U45" s="15">
        <v>1.5846034432357432</v>
      </c>
      <c r="V45" s="15">
        <v>1.673293589867243</v>
      </c>
      <c r="W45" s="15">
        <v>1.4875651383150077</v>
      </c>
      <c r="X45" s="15">
        <v>1.6353057893771374</v>
      </c>
      <c r="Y45" s="15">
        <v>1.4872543644424181</v>
      </c>
      <c r="Z45" s="15">
        <v>1.5930535844425326</v>
      </c>
      <c r="AA45" s="15">
        <v>1.6324764695784599</v>
      </c>
      <c r="AB45" s="15">
        <v>1.5784604395460291</v>
      </c>
      <c r="AC45" s="20">
        <v>1.5913849465999923</v>
      </c>
    </row>
    <row r="46" spans="1:29" x14ac:dyDescent="0.25">
      <c r="A46" s="9"/>
      <c r="B46" s="5" t="s">
        <v>35</v>
      </c>
      <c r="C46" s="5" t="s">
        <v>55</v>
      </c>
      <c r="D46" s="21">
        <v>314088.10311664297</v>
      </c>
      <c r="E46" s="21">
        <v>312880.91662661202</v>
      </c>
      <c r="F46" s="21">
        <v>310763.06815797102</v>
      </c>
      <c r="G46" s="21">
        <v>307603.53215637302</v>
      </c>
      <c r="H46" s="21">
        <v>298553.27795840497</v>
      </c>
      <c r="I46" s="21">
        <v>310644.19097661797</v>
      </c>
      <c r="J46" s="21">
        <v>313945.664391567</v>
      </c>
      <c r="K46" s="21">
        <v>309143.447194568</v>
      </c>
      <c r="L46" s="21">
        <v>309210.508873454</v>
      </c>
      <c r="M46" s="21">
        <v>307952.75240477402</v>
      </c>
      <c r="N46" s="23">
        <f>AVERAGE(D46:M46)</f>
        <v>309478.54618569848</v>
      </c>
      <c r="O46" s="24"/>
      <c r="P46" s="9" t="s">
        <v>57</v>
      </c>
      <c r="Q46" s="5" t="s">
        <v>54</v>
      </c>
      <c r="R46" s="5" t="s">
        <v>55</v>
      </c>
      <c r="S46" s="21">
        <v>624331.82159113104</v>
      </c>
      <c r="T46" s="21">
        <v>579610.19467567303</v>
      </c>
      <c r="U46" s="21">
        <v>583993.895925986</v>
      </c>
      <c r="V46" s="21">
        <v>568926.50129126001</v>
      </c>
      <c r="W46" s="21">
        <v>582107.62679105799</v>
      </c>
      <c r="X46" s="21">
        <v>567413.51270666998</v>
      </c>
      <c r="Y46" s="21">
        <v>568725.15546869906</v>
      </c>
      <c r="Z46" s="21">
        <v>564380.81454614201</v>
      </c>
      <c r="AA46" s="21">
        <v>567572.66953817999</v>
      </c>
      <c r="AB46" s="21">
        <v>606122.43221547804</v>
      </c>
      <c r="AC46" s="23">
        <v>581318.46247502777</v>
      </c>
    </row>
    <row r="47" spans="1:29" x14ac:dyDescent="0.25">
      <c r="A47" s="9"/>
      <c r="B47" s="5"/>
      <c r="C47" s="7" t="s">
        <v>16</v>
      </c>
      <c r="D47" s="15">
        <f>(D46-D41)/D41</f>
        <v>1.4486163652414592</v>
      </c>
      <c r="E47" s="15">
        <f>(E46-E41)/E41</f>
        <v>1.5302119741193276</v>
      </c>
      <c r="F47" s="15">
        <f>(F46-F41)/F41</f>
        <v>1.5487842455418512</v>
      </c>
      <c r="G47" s="15">
        <f>(G46-G41)/G41</f>
        <v>1.5084172871541801</v>
      </c>
      <c r="H47" s="15">
        <f>(H46-H41)/H41</f>
        <v>1.4253303446943657</v>
      </c>
      <c r="I47" s="15">
        <f>(I46-I41)/I41</f>
        <v>1.5466165258994844</v>
      </c>
      <c r="J47" s="15">
        <f>(J46-J41)/J41</f>
        <v>1.5827950507266817</v>
      </c>
      <c r="K47" s="15">
        <f>(K46-K41)/K41</f>
        <v>1.4631964802458803</v>
      </c>
      <c r="L47" s="15">
        <f>(L46-L41)/L41</f>
        <v>1.5438910716143677</v>
      </c>
      <c r="M47" s="15">
        <f>(M46-M41)/M41</f>
        <v>1.5202030666511659</v>
      </c>
      <c r="N47" s="20">
        <f>AVERAGE(D47:M47)</f>
        <v>1.5118062411888764</v>
      </c>
      <c r="O47" s="24"/>
      <c r="P47" s="36"/>
      <c r="Q47" s="35" t="s">
        <v>56</v>
      </c>
      <c r="R47" s="5" t="s">
        <v>16</v>
      </c>
      <c r="S47" s="17">
        <v>8.1083059314304193E-2</v>
      </c>
      <c r="T47" s="17">
        <v>0.12874976846715738</v>
      </c>
      <c r="U47" s="17">
        <v>7.3712149075256292E-2</v>
      </c>
      <c r="V47" s="17">
        <v>9.1505379077795011E-3</v>
      </c>
      <c r="W47" s="17">
        <v>1.1871327900502477E-2</v>
      </c>
      <c r="X47" s="17">
        <v>8.0601585762344913E-2</v>
      </c>
      <c r="Y47" s="17">
        <v>8.4075154728163917E-2</v>
      </c>
      <c r="Z47" s="17">
        <v>4.220068406432128E-2</v>
      </c>
      <c r="AA47" s="17">
        <v>7.0400264959703265E-2</v>
      </c>
      <c r="AB47" s="17">
        <v>2.4356895774800397E-2</v>
      </c>
      <c r="AC47" s="17">
        <v>6.0471838152948057E-2</v>
      </c>
    </row>
    <row r="48" spans="1:29" x14ac:dyDescent="0.25">
      <c r="A48" s="9" t="s">
        <v>57</v>
      </c>
      <c r="B48" s="5" t="s">
        <v>54</v>
      </c>
      <c r="C48" s="5" t="s">
        <v>55</v>
      </c>
      <c r="D48" s="21">
        <v>202759.35693552499</v>
      </c>
      <c r="E48" s="21">
        <v>201507.83526907</v>
      </c>
      <c r="F48" s="21">
        <v>204903.694532761</v>
      </c>
      <c r="G48" s="21">
        <v>199349.68737544501</v>
      </c>
      <c r="H48" s="21">
        <v>211343.41809561499</v>
      </c>
      <c r="I48" s="21">
        <v>197587.961694486</v>
      </c>
      <c r="J48" s="21">
        <v>196789.70264020801</v>
      </c>
      <c r="K48" s="21">
        <v>197603.198872234</v>
      </c>
      <c r="L48" s="21">
        <v>194840.88616629201</v>
      </c>
      <c r="M48" s="21">
        <v>205354.49692700501</v>
      </c>
      <c r="N48" s="23">
        <f>AVERAGE(D48:M48)</f>
        <v>201204.02385086409</v>
      </c>
      <c r="O48" s="24"/>
      <c r="P48" s="36"/>
      <c r="Q48" s="35" t="s">
        <v>34</v>
      </c>
      <c r="R48" s="5" t="s">
        <v>16</v>
      </c>
      <c r="S48" s="14">
        <v>0.35398629123829606</v>
      </c>
      <c r="T48" s="14">
        <v>0.43605439410752639</v>
      </c>
      <c r="U48" s="14">
        <v>0.48708402973693921</v>
      </c>
      <c r="V48" s="14">
        <v>0.4246193266497359</v>
      </c>
      <c r="W48" s="14">
        <v>0.45455417129209258</v>
      </c>
      <c r="X48" s="14">
        <v>0.50700926144345637</v>
      </c>
      <c r="Y48" s="14">
        <v>0.47438728315819456</v>
      </c>
      <c r="Z48" s="14">
        <v>0.45688978131300945</v>
      </c>
      <c r="AA48" s="14">
        <v>0.4928344815700566</v>
      </c>
      <c r="AB48" s="14">
        <v>0.48614796977010866</v>
      </c>
      <c r="AC48" s="17">
        <v>0.45735669902794152</v>
      </c>
    </row>
    <row r="49" spans="1:29" x14ac:dyDescent="0.25">
      <c r="A49" s="9"/>
      <c r="B49" s="5" t="s">
        <v>56</v>
      </c>
      <c r="C49" s="5" t="s">
        <v>55</v>
      </c>
      <c r="D49" s="21">
        <v>264198.78017162601</v>
      </c>
      <c r="E49" s="21">
        <v>256919.69302297599</v>
      </c>
      <c r="F49" s="21">
        <v>268288.48936303001</v>
      </c>
      <c r="G49" s="21">
        <v>252486.210772664</v>
      </c>
      <c r="H49" s="21">
        <v>254149.88911820401</v>
      </c>
      <c r="I49" s="21">
        <v>251689.84294117501</v>
      </c>
      <c r="J49" s="21">
        <v>244522.14007569401</v>
      </c>
      <c r="K49" s="21">
        <v>249181.806370081</v>
      </c>
      <c r="L49" s="21">
        <v>239560.36991470301</v>
      </c>
      <c r="M49" s="21">
        <v>236263.28492638899</v>
      </c>
      <c r="N49" s="23">
        <f>AVERAGE(D49:M49)</f>
        <v>251726.0506676542</v>
      </c>
      <c r="O49" s="24"/>
      <c r="P49" s="10"/>
      <c r="Q49" s="7" t="s">
        <v>35</v>
      </c>
      <c r="R49" s="7" t="s">
        <v>16</v>
      </c>
      <c r="S49" s="15">
        <v>0.50576461028151043</v>
      </c>
      <c r="T49" s="15">
        <v>0.6701803994917076</v>
      </c>
      <c r="U49" s="15">
        <v>0.58180169652032365</v>
      </c>
      <c r="V49" s="15">
        <v>0.79178162398412455</v>
      </c>
      <c r="W49" s="15">
        <v>0.66635124652220157</v>
      </c>
      <c r="X49" s="15">
        <v>0.74118185920902091</v>
      </c>
      <c r="Y49" s="15">
        <v>0.60008485267113376</v>
      </c>
      <c r="Z49" s="15">
        <v>0.65614219325627032</v>
      </c>
      <c r="AA49" s="15">
        <v>0.66597175210597981</v>
      </c>
      <c r="AB49" s="15">
        <v>0.57770391159843015</v>
      </c>
      <c r="AC49" s="20">
        <v>0.64569641456407034</v>
      </c>
    </row>
    <row r="50" spans="1:29" x14ac:dyDescent="0.25">
      <c r="A50" s="9"/>
      <c r="B50" s="5"/>
      <c r="C50" s="5" t="s">
        <v>16</v>
      </c>
      <c r="D50" s="17">
        <f>(D49-D48)/D48</f>
        <v>0.30301646328281662</v>
      </c>
      <c r="E50" s="17">
        <f>(E49-E48)/E48</f>
        <v>0.27498611991893751</v>
      </c>
      <c r="F50" s="17">
        <f>(F49-F48)/F48</f>
        <v>0.30933944346296177</v>
      </c>
      <c r="G50" s="17">
        <f>(G49-G48)/G48</f>
        <v>0.2665493189219022</v>
      </c>
      <c r="H50" s="17">
        <f>(H49-H48)/H48</f>
        <v>0.20254461391943002</v>
      </c>
      <c r="I50" s="17">
        <f>(I49-I48)/I48</f>
        <v>0.27381162689628985</v>
      </c>
      <c r="J50" s="17">
        <f>(J49-J48)/J48</f>
        <v>0.24255556462095759</v>
      </c>
      <c r="K50" s="17">
        <f>(K49-K48)/K48</f>
        <v>0.26102111601541744</v>
      </c>
      <c r="L50" s="17">
        <f>(L49-L48)/L48</f>
        <v>0.22951796529114529</v>
      </c>
      <c r="M50" s="17">
        <f>(M49-M48)/M48</f>
        <v>0.15051429825941809</v>
      </c>
      <c r="N50" s="17">
        <f t="shared" ref="N50" si="21">(N49-N48)/N48</f>
        <v>0.25109849122221289</v>
      </c>
      <c r="O50" s="24"/>
    </row>
    <row r="51" spans="1:29" x14ac:dyDescent="0.25">
      <c r="A51" s="9"/>
      <c r="B51" s="5" t="s">
        <v>34</v>
      </c>
      <c r="C51" s="5" t="s">
        <v>55</v>
      </c>
      <c r="D51" s="21">
        <v>433370.20221303299</v>
      </c>
      <c r="E51" s="21">
        <v>427010.55174150597</v>
      </c>
      <c r="F51" s="21">
        <v>439275.20808062702</v>
      </c>
      <c r="G51" s="21">
        <v>433394.48929503799</v>
      </c>
      <c r="H51" s="21">
        <v>433152.405260681</v>
      </c>
      <c r="I51" s="21">
        <v>414374.293260818</v>
      </c>
      <c r="J51" s="21">
        <v>409937.95367236598</v>
      </c>
      <c r="K51" s="21">
        <v>424586.21767966799</v>
      </c>
      <c r="L51" s="21">
        <v>433223.34655667603</v>
      </c>
      <c r="M51" s="21">
        <v>423956.01785889699</v>
      </c>
      <c r="N51" s="23">
        <f t="shared" ref="N51:N54" si="22">AVERAGE(D51:M51)</f>
        <v>427228.06856193102</v>
      </c>
      <c r="O51" s="24"/>
    </row>
    <row r="52" spans="1:29" x14ac:dyDescent="0.25">
      <c r="A52" s="9"/>
      <c r="B52" s="5"/>
      <c r="C52" s="5" t="s">
        <v>16</v>
      </c>
      <c r="D52" s="14">
        <f t="shared" ref="D52:M52" si="23">(D51-D48)/D48</f>
        <v>1.137362283856717</v>
      </c>
      <c r="E52" s="14">
        <f t="shared" si="23"/>
        <v>1.1190766660329907</v>
      </c>
      <c r="F52" s="14">
        <f t="shared" si="23"/>
        <v>1.1438130194884972</v>
      </c>
      <c r="G52" s="14">
        <f t="shared" si="23"/>
        <v>1.1740414795775675</v>
      </c>
      <c r="H52" s="14">
        <f t="shared" si="23"/>
        <v>1.0495192571585845</v>
      </c>
      <c r="I52" s="14">
        <f t="shared" si="23"/>
        <v>1.0971636617292042</v>
      </c>
      <c r="J52" s="14">
        <f t="shared" si="23"/>
        <v>1.0831270547822232</v>
      </c>
      <c r="K52" s="14">
        <f t="shared" si="23"/>
        <v>1.1486808923280454</v>
      </c>
      <c r="L52" s="14">
        <f t="shared" si="23"/>
        <v>1.2234724706955518</v>
      </c>
      <c r="M52" s="14">
        <f t="shared" si="23"/>
        <v>1.064508078484377</v>
      </c>
      <c r="N52" s="17">
        <f t="shared" si="22"/>
        <v>1.1240764864133757</v>
      </c>
      <c r="O52" s="24"/>
      <c r="P52" s="9"/>
      <c r="Q52" s="5"/>
    </row>
    <row r="53" spans="1:29" x14ac:dyDescent="0.25">
      <c r="A53" s="9"/>
      <c r="B53" s="5" t="s">
        <v>35</v>
      </c>
      <c r="C53" s="5" t="s">
        <v>55</v>
      </c>
      <c r="D53" s="21">
        <v>523770.00319654</v>
      </c>
      <c r="E53" s="21">
        <v>535734.09572730295</v>
      </c>
      <c r="F53" s="21">
        <v>529594.79442109901</v>
      </c>
      <c r="G53" s="21">
        <v>532920.24140281603</v>
      </c>
      <c r="H53" s="21">
        <v>525730.519066985</v>
      </c>
      <c r="I53" s="21">
        <v>520704.69936470699</v>
      </c>
      <c r="J53" s="21">
        <v>489466.04676918301</v>
      </c>
      <c r="K53" s="21">
        <v>512395.68313295703</v>
      </c>
      <c r="L53" s="21">
        <v>512914.04814457899</v>
      </c>
      <c r="M53" s="21">
        <v>529498.44640915899</v>
      </c>
      <c r="N53" s="23">
        <f t="shared" si="22"/>
        <v>521272.8577635329</v>
      </c>
      <c r="O53" s="24"/>
      <c r="P53" s="9"/>
      <c r="R53" s="5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3"/>
    </row>
    <row r="54" spans="1:29" x14ac:dyDescent="0.25">
      <c r="A54" s="9"/>
      <c r="B54" s="5"/>
      <c r="C54" s="7" t="s">
        <v>16</v>
      </c>
      <c r="D54" s="15">
        <f t="shared" ref="D54:M54" si="24">(D53-D48)/D48</f>
        <v>1.5832100235112327</v>
      </c>
      <c r="E54" s="15">
        <f t="shared" si="24"/>
        <v>1.6586266236841178</v>
      </c>
      <c r="F54" s="15">
        <f t="shared" si="24"/>
        <v>1.5846034432357432</v>
      </c>
      <c r="G54" s="15">
        <f t="shared" si="24"/>
        <v>1.673293589867243</v>
      </c>
      <c r="H54" s="15">
        <f t="shared" si="24"/>
        <v>1.4875651383150077</v>
      </c>
      <c r="I54" s="15">
        <f t="shared" si="24"/>
        <v>1.6353057893771374</v>
      </c>
      <c r="J54" s="15">
        <f t="shared" si="24"/>
        <v>1.4872543644424181</v>
      </c>
      <c r="K54" s="15">
        <f t="shared" si="24"/>
        <v>1.5930535844425326</v>
      </c>
      <c r="L54" s="15">
        <f t="shared" si="24"/>
        <v>1.6324764695784599</v>
      </c>
      <c r="M54" s="15">
        <f t="shared" si="24"/>
        <v>1.5784604395460291</v>
      </c>
      <c r="N54" s="20">
        <f t="shared" si="22"/>
        <v>1.5913849465999923</v>
      </c>
      <c r="O54" s="24"/>
      <c r="P54" s="9"/>
      <c r="Q54" s="5"/>
    </row>
    <row r="55" spans="1:29" x14ac:dyDescent="0.25">
      <c r="A55" s="9" t="s">
        <v>57</v>
      </c>
      <c r="B55" s="5" t="s">
        <v>54</v>
      </c>
      <c r="C55" s="5" t="s">
        <v>55</v>
      </c>
      <c r="D55" s="21">
        <v>577505.87821358</v>
      </c>
      <c r="E55" s="21">
        <v>579610.19467567303</v>
      </c>
      <c r="F55" s="21">
        <v>583993.895925986</v>
      </c>
      <c r="G55" s="21">
        <v>568926.50129126001</v>
      </c>
      <c r="H55" s="21">
        <v>582107.62679105799</v>
      </c>
      <c r="I55" s="21">
        <v>567413.51270666998</v>
      </c>
      <c r="J55" s="21">
        <v>568725.15546869906</v>
      </c>
      <c r="K55" s="21">
        <v>564380.81454614201</v>
      </c>
      <c r="L55" s="21">
        <v>567572.66953817999</v>
      </c>
      <c r="M55" s="21">
        <v>606122.43221547804</v>
      </c>
      <c r="N55" s="23">
        <f>AVERAGE(D55:M55)</f>
        <v>576635.86813727277</v>
      </c>
    </row>
    <row r="56" spans="1:29" x14ac:dyDescent="0.25">
      <c r="A56" s="9"/>
      <c r="B56" s="5" t="s">
        <v>56</v>
      </c>
      <c r="C56" s="5" t="s">
        <v>55</v>
      </c>
      <c r="D56" s="21">
        <v>624331.82159113104</v>
      </c>
      <c r="E56" s="21">
        <v>654234.87304136995</v>
      </c>
      <c r="F56" s="21">
        <v>627041.34104152198</v>
      </c>
      <c r="G56" s="21">
        <v>574132.48480806604</v>
      </c>
      <c r="H56" s="21">
        <v>589018.01730207796</v>
      </c>
      <c r="I56" s="21">
        <v>613147.94161381002</v>
      </c>
      <c r="J56" s="21">
        <v>616540.81091252901</v>
      </c>
      <c r="K56" s="21">
        <v>588198.07099276804</v>
      </c>
      <c r="L56" s="21">
        <v>607529.93585755397</v>
      </c>
      <c r="M56" s="21">
        <v>620885.69312371896</v>
      </c>
      <c r="N56" s="23">
        <f>AVERAGE(D56:M56)</f>
        <v>611506.09902845463</v>
      </c>
    </row>
    <row r="57" spans="1:29" x14ac:dyDescent="0.25">
      <c r="A57" s="9"/>
      <c r="B57" s="5"/>
      <c r="C57" s="5" t="s">
        <v>16</v>
      </c>
      <c r="D57" s="17">
        <f>(D56-D55)/D55</f>
        <v>8.1083059314304193E-2</v>
      </c>
      <c r="E57" s="17">
        <f>(E56-E55)/E55</f>
        <v>0.12874976846715738</v>
      </c>
      <c r="F57" s="17">
        <f>(F56-F55)/F55</f>
        <v>7.3712149075256292E-2</v>
      </c>
      <c r="G57" s="17">
        <f>(G56-G55)/G55</f>
        <v>9.1505379077795011E-3</v>
      </c>
      <c r="H57" s="17">
        <f>(H56-H55)/H55</f>
        <v>1.1871327900502477E-2</v>
      </c>
      <c r="I57" s="17">
        <f>(I56-I55)/I55</f>
        <v>8.0601585762344913E-2</v>
      </c>
      <c r="J57" s="17">
        <f>(J56-J55)/J55</f>
        <v>8.4075154728163917E-2</v>
      </c>
      <c r="K57" s="17">
        <f>(K56-K55)/K55</f>
        <v>4.220068406432128E-2</v>
      </c>
      <c r="L57" s="17">
        <f>(L56-L55)/L55</f>
        <v>7.0400264959703265E-2</v>
      </c>
      <c r="M57" s="17">
        <f>(M56-M55)/M55</f>
        <v>2.4356895774800397E-2</v>
      </c>
      <c r="N57" s="17">
        <f t="shared" ref="N57" si="25">(N56-N55)/N55</f>
        <v>6.0471838152948057E-2</v>
      </c>
      <c r="O57" s="24"/>
    </row>
    <row r="58" spans="1:29" x14ac:dyDescent="0.25">
      <c r="A58" s="9"/>
      <c r="B58" s="5" t="s">
        <v>34</v>
      </c>
      <c r="C58" s="5" t="s">
        <v>55</v>
      </c>
      <c r="D58" s="21">
        <v>845336.72761822504</v>
      </c>
      <c r="E58" s="21">
        <v>832351.76693351904</v>
      </c>
      <c r="F58" s="21">
        <v>868447.99609538994</v>
      </c>
      <c r="G58" s="21">
        <v>810503.68918274494</v>
      </c>
      <c r="H58" s="21">
        <v>846707.07668987405</v>
      </c>
      <c r="I58" s="21">
        <v>855097.418717116</v>
      </c>
      <c r="J58" s="21">
        <v>838521.13683521701</v>
      </c>
      <c r="K58" s="21">
        <v>822240.64148138696</v>
      </c>
      <c r="L58" s="21">
        <v>847292.051883362</v>
      </c>
      <c r="M58" s="21">
        <v>900787.622069153</v>
      </c>
      <c r="N58" s="23">
        <f t="shared" ref="N58:N61" si="26">AVERAGE(D58:M58)</f>
        <v>846728.61275059881</v>
      </c>
      <c r="O58" s="24"/>
    </row>
    <row r="59" spans="1:29" x14ac:dyDescent="0.25">
      <c r="A59" s="9"/>
      <c r="B59" s="5"/>
      <c r="C59" s="5" t="s">
        <v>16</v>
      </c>
      <c r="D59" s="14">
        <f>(D58-D55)/D55</f>
        <v>0.46377164200152554</v>
      </c>
      <c r="E59" s="14">
        <f t="shared" ref="E59:M59" si="27">(E58-E55)/E55</f>
        <v>0.43605439410752639</v>
      </c>
      <c r="F59" s="14">
        <f t="shared" si="27"/>
        <v>0.48708402973693921</v>
      </c>
      <c r="G59" s="14">
        <f t="shared" si="27"/>
        <v>0.4246193266497359</v>
      </c>
      <c r="H59" s="14">
        <f t="shared" si="27"/>
        <v>0.45455417129209258</v>
      </c>
      <c r="I59" s="14">
        <f t="shared" si="27"/>
        <v>0.50700926144345637</v>
      </c>
      <c r="J59" s="14">
        <f t="shared" si="27"/>
        <v>0.47438728315819456</v>
      </c>
      <c r="K59" s="14">
        <f t="shared" si="27"/>
        <v>0.45688978131300945</v>
      </c>
      <c r="L59" s="14">
        <f t="shared" si="27"/>
        <v>0.4928344815700566</v>
      </c>
      <c r="M59" s="14">
        <f t="shared" si="27"/>
        <v>0.48614796977010866</v>
      </c>
      <c r="N59" s="17">
        <f t="shared" si="26"/>
        <v>0.46833523410426448</v>
      </c>
      <c r="P59" s="9"/>
    </row>
    <row r="60" spans="1:29" x14ac:dyDescent="0.25">
      <c r="A60" s="9"/>
      <c r="B60" s="5" t="s">
        <v>35</v>
      </c>
      <c r="C60" s="5" t="s">
        <v>55</v>
      </c>
      <c r="D60" s="21">
        <v>940096.76202451496</v>
      </c>
      <c r="E60" s="21">
        <v>968053.58649288199</v>
      </c>
      <c r="F60" s="21">
        <v>923762.53533323796</v>
      </c>
      <c r="G60" s="21">
        <v>1019392.05041126</v>
      </c>
      <c r="H60" s="21">
        <v>969995.76951335999</v>
      </c>
      <c r="I60" s="21">
        <v>987970.11499492102</v>
      </c>
      <c r="J60" s="21">
        <v>910008.506598501</v>
      </c>
      <c r="K60" s="21">
        <v>934694.88003420795</v>
      </c>
      <c r="L60" s="21">
        <v>945560.03471798997</v>
      </c>
      <c r="M60" s="21">
        <v>956281.73221391405</v>
      </c>
      <c r="N60" s="23">
        <f t="shared" si="26"/>
        <v>955581.59723347891</v>
      </c>
      <c r="P60" s="9"/>
      <c r="R60" s="5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3"/>
    </row>
    <row r="61" spans="1:29" x14ac:dyDescent="0.25">
      <c r="A61" s="9"/>
      <c r="B61" s="5"/>
      <c r="C61" s="7" t="s">
        <v>16</v>
      </c>
      <c r="D61" s="15">
        <f>(D60-D55)/D55</f>
        <v>0.62785661149034633</v>
      </c>
      <c r="E61" s="15">
        <f t="shared" ref="E61:M61" si="28">(E60-E55)/E55</f>
        <v>0.6701803994917076</v>
      </c>
      <c r="F61" s="15">
        <f t="shared" si="28"/>
        <v>0.58180169652032365</v>
      </c>
      <c r="G61" s="15">
        <f t="shared" si="28"/>
        <v>0.79178162398412455</v>
      </c>
      <c r="H61" s="15">
        <f t="shared" si="28"/>
        <v>0.66635124652220157</v>
      </c>
      <c r="I61" s="15">
        <f t="shared" si="28"/>
        <v>0.74118185920902091</v>
      </c>
      <c r="J61" s="15">
        <f t="shared" si="28"/>
        <v>0.60008485267113376</v>
      </c>
      <c r="K61" s="15">
        <f t="shared" si="28"/>
        <v>0.65614219325627032</v>
      </c>
      <c r="L61" s="15">
        <f t="shared" si="28"/>
        <v>0.66597175210597981</v>
      </c>
      <c r="M61" s="15">
        <f t="shared" si="28"/>
        <v>0.57770391159843015</v>
      </c>
      <c r="N61" s="20">
        <f t="shared" si="26"/>
        <v>0.6579056146849539</v>
      </c>
      <c r="P61" s="9"/>
      <c r="Q61" s="5"/>
    </row>
    <row r="62" spans="1:29" x14ac:dyDescent="0.25">
      <c r="N62" s="1"/>
    </row>
    <row r="63" spans="1:29" x14ac:dyDescent="0.25">
      <c r="D63" s="21"/>
      <c r="N63" s="1"/>
    </row>
    <row r="64" spans="1:29" x14ac:dyDescent="0.25">
      <c r="N64" s="1"/>
    </row>
    <row r="65" spans="1:28" x14ac:dyDescent="0.25">
      <c r="A65" s="9" t="s">
        <v>42</v>
      </c>
      <c r="B65" s="5" t="s">
        <v>54</v>
      </c>
      <c r="C65" s="5" t="s">
        <v>55</v>
      </c>
      <c r="D65" s="21">
        <v>75900.153677001901</v>
      </c>
      <c r="E65" s="21">
        <v>76703.121787302895</v>
      </c>
      <c r="F65" s="21">
        <v>75055.6416272442</v>
      </c>
      <c r="G65" s="21">
        <v>73028.351265871795</v>
      </c>
      <c r="H65" s="21">
        <v>72670.122804479804</v>
      </c>
      <c r="I65" s="21">
        <v>72186.311566363001</v>
      </c>
      <c r="J65" s="21">
        <v>72271.308909023195</v>
      </c>
      <c r="K65" s="21">
        <v>74192.523530459905</v>
      </c>
      <c r="L65" s="21">
        <v>74025.938094493395</v>
      </c>
      <c r="M65" s="21">
        <v>72849.031071328704</v>
      </c>
      <c r="N65" s="23">
        <f>AVERAGE(D65:M65)</f>
        <v>73888.25043335688</v>
      </c>
      <c r="O65" s="24"/>
      <c r="P65" s="24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x14ac:dyDescent="0.25">
      <c r="A66" s="9"/>
      <c r="B66" s="5" t="s">
        <v>56</v>
      </c>
      <c r="C66" s="5" t="s">
        <v>55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3"/>
      <c r="O66" s="24"/>
      <c r="P66" s="24"/>
    </row>
    <row r="67" spans="1:28" x14ac:dyDescent="0.25">
      <c r="A67" s="9"/>
      <c r="B67" s="5"/>
      <c r="C67" s="5" t="s">
        <v>16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3"/>
      <c r="O67" s="24"/>
      <c r="P67" s="24"/>
    </row>
    <row r="68" spans="1:28" x14ac:dyDescent="0.25">
      <c r="A68" s="9"/>
      <c r="B68" s="5" t="s">
        <v>34</v>
      </c>
      <c r="C68" s="5" t="s">
        <v>55</v>
      </c>
      <c r="D68" s="21">
        <v>167465.76744871101</v>
      </c>
      <c r="E68" s="21">
        <v>164877.562287487</v>
      </c>
      <c r="F68" s="21">
        <v>163233.12530749201</v>
      </c>
      <c r="G68" s="21">
        <v>166640.08991388901</v>
      </c>
      <c r="H68" s="21">
        <v>147174.602581552</v>
      </c>
      <c r="I68" s="21">
        <v>160929.010246883</v>
      </c>
      <c r="J68" s="21">
        <v>160381.68390065699</v>
      </c>
      <c r="K68" s="21">
        <v>164311.35114670201</v>
      </c>
      <c r="L68" s="21">
        <v>163679.273547577</v>
      </c>
      <c r="M68" s="21">
        <v>153716.58659503501</v>
      </c>
      <c r="N68" s="23">
        <f t="shared" ref="N68:N71" si="29">AVERAGE(D68:M68)</f>
        <v>161240.90529759851</v>
      </c>
      <c r="O68" s="24"/>
      <c r="P68" s="24"/>
    </row>
    <row r="69" spans="1:28" x14ac:dyDescent="0.25">
      <c r="A69" s="9"/>
      <c r="B69" s="5"/>
      <c r="C69" s="5" t="s">
        <v>16</v>
      </c>
      <c r="D69" s="14">
        <f>(D68-D65)/D65</f>
        <v>1.2063956307832076</v>
      </c>
      <c r="E69" s="14">
        <f t="shared" ref="E69:M69" si="30">(E68-E65)/E65</f>
        <v>1.149554782720462</v>
      </c>
      <c r="F69" s="14">
        <f t="shared" si="30"/>
        <v>1.1748281910395468</v>
      </c>
      <c r="G69" s="14">
        <f t="shared" si="30"/>
        <v>1.2818547457987679</v>
      </c>
      <c r="H69" s="14">
        <f t="shared" si="30"/>
        <v>1.0252422440172251</v>
      </c>
      <c r="I69" s="14">
        <f t="shared" si="30"/>
        <v>1.2293563246951082</v>
      </c>
      <c r="J69" s="14">
        <f t="shared" si="30"/>
        <v>1.2191611902663779</v>
      </c>
      <c r="K69" s="14">
        <f t="shared" si="30"/>
        <v>1.2146618463414798</v>
      </c>
      <c r="L69" s="14">
        <f t="shared" si="30"/>
        <v>1.2111070492432259</v>
      </c>
      <c r="M69" s="14">
        <f t="shared" si="30"/>
        <v>1.1100704338061329</v>
      </c>
      <c r="N69" s="17">
        <f t="shared" si="29"/>
        <v>1.1822232438711535</v>
      </c>
      <c r="O69" s="24">
        <f>MIN(D69:M69)</f>
        <v>1.0252422440172251</v>
      </c>
      <c r="P69" s="24">
        <f>MAX(D69:M69)</f>
        <v>1.2818547457987679</v>
      </c>
    </row>
    <row r="70" spans="1:28" x14ac:dyDescent="0.25">
      <c r="A70" s="9"/>
      <c r="B70" s="5" t="s">
        <v>35</v>
      </c>
      <c r="C70" s="5" t="s">
        <v>55</v>
      </c>
      <c r="D70" s="21">
        <v>241393.802341253</v>
      </c>
      <c r="E70" s="21">
        <v>242147.165869505</v>
      </c>
      <c r="F70" s="21">
        <v>247433.19275429301</v>
      </c>
      <c r="G70" s="21">
        <v>247857.44467160801</v>
      </c>
      <c r="H70" s="21">
        <v>229342.673432146</v>
      </c>
      <c r="I70" s="21">
        <v>234982.64539110099</v>
      </c>
      <c r="J70" s="21">
        <v>223732.75768996801</v>
      </c>
      <c r="K70" s="21">
        <v>237618.998135373</v>
      </c>
      <c r="L70" s="21">
        <v>243388.87179514699</v>
      </c>
      <c r="M70" s="21">
        <v>236337.96974052701</v>
      </c>
      <c r="N70" s="23">
        <f t="shared" si="29"/>
        <v>238423.55218209216</v>
      </c>
      <c r="O70" s="24"/>
      <c r="P70" s="24"/>
    </row>
    <row r="71" spans="1:28" x14ac:dyDescent="0.25">
      <c r="A71" s="9"/>
      <c r="B71" s="5"/>
      <c r="C71" s="7" t="s">
        <v>16</v>
      </c>
      <c r="D71" s="15">
        <f>(D70-D65)/D65</f>
        <v>2.1804125637020473</v>
      </c>
      <c r="E71" s="15">
        <f>(E70-E65)/E65</f>
        <v>2.1569401639346184</v>
      </c>
      <c r="F71" s="15">
        <f>(F70-F65)/F65</f>
        <v>2.2966634804501895</v>
      </c>
      <c r="G71" s="15">
        <f>(G70-G65)/G65</f>
        <v>2.393989325724224</v>
      </c>
      <c r="H71" s="15">
        <f>(H70-H65)/H65</f>
        <v>2.1559417348061505</v>
      </c>
      <c r="I71" s="15">
        <f>(I70-I65)/I65</f>
        <v>2.255224436492707</v>
      </c>
      <c r="J71" s="15">
        <f>(J70-J65)/J65</f>
        <v>2.0957341311142987</v>
      </c>
      <c r="K71" s="15">
        <f>(K70-K65)/K65</f>
        <v>2.2027350847261316</v>
      </c>
      <c r="L71" s="15">
        <f>(L70-L65)/L65</f>
        <v>2.2878863552456905</v>
      </c>
      <c r="M71" s="15">
        <f>(M70-M65)/M65</f>
        <v>2.2442156918891798</v>
      </c>
      <c r="N71" s="20">
        <f t="shared" si="29"/>
        <v>2.2269742968085238</v>
      </c>
      <c r="O71" s="24">
        <f>MIN(D71:M71)</f>
        <v>2.0957341311142987</v>
      </c>
      <c r="P71" s="24">
        <f>MAX(D71:M71)</f>
        <v>2.393989325724224</v>
      </c>
    </row>
    <row r="72" spans="1:28" x14ac:dyDescent="0.25">
      <c r="N72" s="1"/>
    </row>
    <row r="73" spans="1:28" x14ac:dyDescent="0.25">
      <c r="A73" s="9" t="s">
        <v>41</v>
      </c>
      <c r="B73" s="5" t="s">
        <v>54</v>
      </c>
      <c r="C73" s="5" t="s">
        <v>55</v>
      </c>
      <c r="D73" s="21">
        <v>169404.100923716</v>
      </c>
      <c r="E73" s="21">
        <v>172925.66999223901</v>
      </c>
      <c r="F73" s="21">
        <v>162008.173549573</v>
      </c>
      <c r="G73" s="21">
        <v>166301.76737239101</v>
      </c>
      <c r="H73" s="21">
        <v>164808.638111768</v>
      </c>
      <c r="I73" s="21">
        <v>150091.85829328001</v>
      </c>
      <c r="J73" s="21">
        <v>158479.35789760301</v>
      </c>
      <c r="K73" s="21">
        <v>163041.59300930501</v>
      </c>
      <c r="L73" s="21">
        <v>158826.69163186499</v>
      </c>
      <c r="M73" s="21">
        <v>159274.644736302</v>
      </c>
      <c r="N73" s="23">
        <f>AVERAGE(D73:M73)</f>
        <v>162516.24955180421</v>
      </c>
      <c r="O73" s="24"/>
      <c r="P73" s="24"/>
    </row>
    <row r="74" spans="1:28" x14ac:dyDescent="0.25">
      <c r="A74" s="9"/>
      <c r="B74" s="5" t="s">
        <v>34</v>
      </c>
      <c r="C74" s="5" t="s">
        <v>55</v>
      </c>
      <c r="D74" s="21">
        <v>317113.35269690398</v>
      </c>
      <c r="E74" s="21">
        <v>302847.00555383897</v>
      </c>
      <c r="F74" s="21">
        <v>299010.31186459598</v>
      </c>
      <c r="G74" s="21">
        <v>305663.42273168801</v>
      </c>
      <c r="H74" s="21">
        <v>289130.01712891302</v>
      </c>
      <c r="I74" s="21">
        <v>292800.45756569301</v>
      </c>
      <c r="J74" s="21">
        <v>302627.07059161097</v>
      </c>
      <c r="K74" s="21">
        <v>296497.721827264</v>
      </c>
      <c r="L74" s="21">
        <v>305235.42261092598</v>
      </c>
      <c r="M74" s="21">
        <v>304925.53156255698</v>
      </c>
      <c r="N74" s="23">
        <f t="shared" ref="N74:N77" si="31">AVERAGE(D74:M74)</f>
        <v>301585.03141339903</v>
      </c>
      <c r="O74" s="24"/>
      <c r="P74" s="24"/>
    </row>
    <row r="75" spans="1:28" x14ac:dyDescent="0.25">
      <c r="A75" s="9"/>
      <c r="B75" s="5"/>
      <c r="C75" s="5" t="s">
        <v>16</v>
      </c>
      <c r="D75" s="14">
        <f>(D74-D73)/D73</f>
        <v>0.87193433315821922</v>
      </c>
      <c r="E75" s="14">
        <f t="shared" ref="E75:M75" si="32">(E74-E73)/E73</f>
        <v>0.75131318310017758</v>
      </c>
      <c r="F75" s="14">
        <f t="shared" si="32"/>
        <v>0.84564954541075421</v>
      </c>
      <c r="G75" s="14">
        <f t="shared" si="32"/>
        <v>0.83800465600122942</v>
      </c>
      <c r="H75" s="14">
        <f t="shared" si="32"/>
        <v>0.75433776069937675</v>
      </c>
      <c r="I75" s="14">
        <f t="shared" si="32"/>
        <v>0.95080839757183844</v>
      </c>
      <c r="J75" s="14">
        <f t="shared" si="32"/>
        <v>0.90956774816784003</v>
      </c>
      <c r="K75" s="14">
        <f t="shared" si="32"/>
        <v>0.81854038809803864</v>
      </c>
      <c r="L75" s="14">
        <f t="shared" si="32"/>
        <v>0.92181439703103019</v>
      </c>
      <c r="M75" s="14">
        <f t="shared" si="32"/>
        <v>0.91446373694568428</v>
      </c>
      <c r="N75" s="17">
        <f t="shared" si="31"/>
        <v>0.85764341461841886</v>
      </c>
      <c r="O75" s="24">
        <f t="shared" ref="O75:O77" si="33">MIN(D75:M75)</f>
        <v>0.75131318310017758</v>
      </c>
      <c r="P75" s="24">
        <f t="shared" ref="P75:P77" si="34">MAX(D75:M75)</f>
        <v>0.95080839757183844</v>
      </c>
    </row>
    <row r="76" spans="1:28" x14ac:dyDescent="0.25">
      <c r="A76" s="9"/>
      <c r="B76" s="5" t="s">
        <v>35</v>
      </c>
      <c r="C76" s="5" t="s">
        <v>55</v>
      </c>
      <c r="D76" s="21">
        <v>378936.03565978701</v>
      </c>
      <c r="E76" s="21">
        <v>389848.13659903401</v>
      </c>
      <c r="F76" s="21">
        <v>397985.90613164502</v>
      </c>
      <c r="G76" s="21">
        <v>387384.26753914001</v>
      </c>
      <c r="H76" s="21">
        <v>398143.06762534101</v>
      </c>
      <c r="I76" s="21">
        <v>383588.60810051998</v>
      </c>
      <c r="J76" s="21">
        <v>373644.74584395997</v>
      </c>
      <c r="K76" s="21">
        <v>385222.76561925397</v>
      </c>
      <c r="L76" s="21">
        <v>376636.12218411203</v>
      </c>
      <c r="M76" s="21">
        <v>365389.30802452902</v>
      </c>
      <c r="N76" s="23">
        <f t="shared" si="31"/>
        <v>383677.89633273223</v>
      </c>
      <c r="O76" s="24"/>
      <c r="P76" s="24"/>
    </row>
    <row r="77" spans="1:28" x14ac:dyDescent="0.25">
      <c r="A77" s="10"/>
      <c r="B77" s="7"/>
      <c r="C77" s="7" t="s">
        <v>16</v>
      </c>
      <c r="D77" s="15">
        <f>(D76-D73)/D73</f>
        <v>1.2368764014185518</v>
      </c>
      <c r="E77" s="15">
        <f t="shared" ref="E77:M77" si="35">(E76-E73)/E73</f>
        <v>1.2544260584130198</v>
      </c>
      <c r="F77" s="15">
        <f t="shared" si="35"/>
        <v>1.4565791799996131</v>
      </c>
      <c r="G77" s="15">
        <f t="shared" si="35"/>
        <v>1.3294055959831761</v>
      </c>
      <c r="H77" s="15">
        <f t="shared" si="35"/>
        <v>1.4157900470928775</v>
      </c>
      <c r="I77" s="15">
        <f t="shared" si="35"/>
        <v>1.5556923104448912</v>
      </c>
      <c r="J77" s="15">
        <f t="shared" si="35"/>
        <v>1.3576871511896207</v>
      </c>
      <c r="K77" s="15">
        <f t="shared" si="35"/>
        <v>1.3627269490507785</v>
      </c>
      <c r="L77" s="15">
        <f t="shared" si="35"/>
        <v>1.3713654066225509</v>
      </c>
      <c r="M77" s="15">
        <f t="shared" si="35"/>
        <v>1.2940833340389752</v>
      </c>
      <c r="N77" s="20">
        <f t="shared" si="31"/>
        <v>1.3634632434254055</v>
      </c>
      <c r="O77" s="24">
        <f t="shared" si="33"/>
        <v>1.2368764014185518</v>
      </c>
      <c r="P77" s="24">
        <f t="shared" si="34"/>
        <v>1.5556923104448912</v>
      </c>
    </row>
    <row r="79" spans="1:28" x14ac:dyDescent="0.25"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2" spans="1:27" x14ac:dyDescent="0.25">
      <c r="B82" s="30" t="s">
        <v>27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1:27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B84" s="12"/>
      <c r="C84" s="12"/>
      <c r="D84" s="12">
        <v>0</v>
      </c>
      <c r="E84" s="12">
        <v>10</v>
      </c>
      <c r="F84" s="12">
        <v>20</v>
      </c>
      <c r="G84" s="12">
        <v>30</v>
      </c>
      <c r="H84" s="12">
        <v>40</v>
      </c>
      <c r="I84" s="12">
        <v>50</v>
      </c>
      <c r="J84" s="12">
        <v>60</v>
      </c>
      <c r="K84" s="12">
        <v>70</v>
      </c>
      <c r="L84" s="12">
        <v>80</v>
      </c>
      <c r="M84" s="12">
        <v>90</v>
      </c>
      <c r="N84" s="18" t="s">
        <v>21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B85" s="35" t="s">
        <v>54</v>
      </c>
      <c r="C85" s="35" t="s">
        <v>55</v>
      </c>
      <c r="D85" s="37">
        <v>53391.479665072497</v>
      </c>
      <c r="E85" s="37">
        <v>52436.1775450719</v>
      </c>
      <c r="F85" s="37">
        <v>51033.450921764597</v>
      </c>
      <c r="G85" s="37">
        <v>48793.423834895402</v>
      </c>
      <c r="H85" s="37">
        <v>53757.539432168698</v>
      </c>
      <c r="I85" s="37">
        <v>49737.453384646498</v>
      </c>
      <c r="J85" s="37">
        <v>51787.826343455999</v>
      </c>
      <c r="K85" s="37">
        <v>49082.463803145401</v>
      </c>
      <c r="L85" s="37">
        <v>47051.521589923199</v>
      </c>
      <c r="M85" s="37">
        <v>49915.4748252563</v>
      </c>
      <c r="N85" s="37">
        <f>AVERAGE(D85:M85)</f>
        <v>50698.681134540042</v>
      </c>
    </row>
    <row r="86" spans="1:27" x14ac:dyDescent="0.25">
      <c r="B86" s="35" t="s">
        <v>58</v>
      </c>
      <c r="C86" s="35" t="s">
        <v>55</v>
      </c>
      <c r="D86" s="37">
        <v>60936.937263627398</v>
      </c>
      <c r="E86" s="37">
        <v>59918.7852839388</v>
      </c>
      <c r="F86" s="37">
        <v>58660.668106689402</v>
      </c>
      <c r="G86" s="37">
        <v>57433.674278285602</v>
      </c>
      <c r="H86" s="37">
        <v>53819.4805404402</v>
      </c>
      <c r="I86" s="37">
        <v>54614.847332234</v>
      </c>
      <c r="J86" s="37">
        <v>57688.660845225699</v>
      </c>
      <c r="K86" s="37">
        <v>59057.990740530498</v>
      </c>
      <c r="L86" s="37">
        <v>65966.882993262494</v>
      </c>
      <c r="M86" s="37">
        <v>63620.7855187776</v>
      </c>
      <c r="N86" s="37">
        <f t="shared" ref="N86:N87" si="36">AVERAGE(D86:M86)</f>
        <v>59171.871290301162</v>
      </c>
    </row>
    <row r="87" spans="1:27" x14ac:dyDescent="0.25">
      <c r="B87" s="35"/>
      <c r="C87" s="35" t="s">
        <v>16</v>
      </c>
      <c r="D87" s="15">
        <f t="shared" ref="D87:M87" si="37">(D86-D85)/D85</f>
        <v>0.14132325318361555</v>
      </c>
      <c r="E87" s="15">
        <f t="shared" si="37"/>
        <v>0.14269933639680676</v>
      </c>
      <c r="F87" s="15">
        <f t="shared" si="37"/>
        <v>0.14945525037327959</v>
      </c>
      <c r="G87" s="15">
        <f t="shared" si="37"/>
        <v>0.17707817497346814</v>
      </c>
      <c r="H87" s="15">
        <f t="shared" si="37"/>
        <v>1.1522310902949487E-3</v>
      </c>
      <c r="I87" s="15">
        <f t="shared" si="37"/>
        <v>9.806280007679502E-2</v>
      </c>
      <c r="J87" s="15">
        <f t="shared" si="37"/>
        <v>0.11394250190451059</v>
      </c>
      <c r="K87" s="15">
        <f t="shared" si="37"/>
        <v>0.20324014249557343</v>
      </c>
      <c r="L87" s="15">
        <f t="shared" si="37"/>
        <v>0.40201380878169746</v>
      </c>
      <c r="M87" s="15">
        <f t="shared" si="37"/>
        <v>0.27457037605072865</v>
      </c>
      <c r="N87" s="20">
        <f t="shared" si="36"/>
        <v>0.17035378753267699</v>
      </c>
    </row>
    <row r="88" spans="1:27" x14ac:dyDescent="0.25">
      <c r="B88" s="35" t="s">
        <v>56</v>
      </c>
      <c r="C88" s="35" t="s">
        <v>55</v>
      </c>
      <c r="D88" s="37">
        <v>86759.669350227297</v>
      </c>
      <c r="E88" s="37">
        <v>84038.716036579703</v>
      </c>
      <c r="F88" s="37">
        <v>82969.034538621694</v>
      </c>
      <c r="G88" s="37">
        <v>79856.015472747604</v>
      </c>
      <c r="H88" s="37">
        <v>82668.744791761594</v>
      </c>
      <c r="I88" s="37">
        <v>75103.344081630596</v>
      </c>
      <c r="J88" s="37">
        <v>77574.564612625007</v>
      </c>
      <c r="K88" s="37">
        <v>73794.841355049401</v>
      </c>
      <c r="L88" s="37">
        <v>71038.247663359507</v>
      </c>
      <c r="M88" s="37">
        <v>72060.805070799106</v>
      </c>
      <c r="N88" s="37">
        <f>AVERAGE(D88:M88)</f>
        <v>78586.398297340158</v>
      </c>
    </row>
    <row r="89" spans="1:27" x14ac:dyDescent="0.25">
      <c r="B89" s="35" t="s">
        <v>59</v>
      </c>
      <c r="C89" s="35" t="s">
        <v>55</v>
      </c>
      <c r="D89" s="37">
        <v>112524.37761091</v>
      </c>
      <c r="E89" s="37">
        <v>114899.263300828</v>
      </c>
      <c r="F89" s="37">
        <v>110671.613674115</v>
      </c>
      <c r="G89" s="37">
        <v>112472.50571072299</v>
      </c>
      <c r="H89" s="37">
        <v>109401.45647270299</v>
      </c>
      <c r="I89" s="37">
        <v>107123.751058922</v>
      </c>
      <c r="J89" s="37">
        <v>106892.791665746</v>
      </c>
      <c r="K89" s="37">
        <v>103413.51823538099</v>
      </c>
      <c r="L89" s="37">
        <v>100504.897655755</v>
      </c>
      <c r="M89" s="37">
        <v>96713.664420224595</v>
      </c>
      <c r="N89" s="37">
        <f>AVERAGE(D89:M89)</f>
        <v>107461.78398053076</v>
      </c>
    </row>
    <row r="90" spans="1:27" x14ac:dyDescent="0.25">
      <c r="B90" s="7"/>
      <c r="C90" s="7" t="s">
        <v>16</v>
      </c>
      <c r="D90" s="15">
        <f t="shared" ref="D90:M90" si="38">(D89-D88)/D88</f>
        <v>0.2969664183098365</v>
      </c>
      <c r="E90" s="15">
        <f t="shared" si="38"/>
        <v>0.36721821464782445</v>
      </c>
      <c r="F90" s="15">
        <f t="shared" si="38"/>
        <v>0.33389058085999401</v>
      </c>
      <c r="G90" s="15">
        <f t="shared" si="38"/>
        <v>0.40844124321612807</v>
      </c>
      <c r="H90" s="15">
        <f t="shared" si="38"/>
        <v>0.32337144767686693</v>
      </c>
      <c r="I90" s="15">
        <f t="shared" si="38"/>
        <v>0.42635128127567928</v>
      </c>
      <c r="J90" s="15">
        <f t="shared" si="38"/>
        <v>0.37793608252297622</v>
      </c>
      <c r="K90" s="15">
        <f t="shared" si="38"/>
        <v>0.40136514065837126</v>
      </c>
      <c r="L90" s="15">
        <f t="shared" si="38"/>
        <v>0.41479978689837482</v>
      </c>
      <c r="M90" s="15">
        <f t="shared" si="38"/>
        <v>0.34211190570524813</v>
      </c>
      <c r="N90" s="20">
        <f t="shared" ref="N90" si="39">AVERAGE(D90:M90)</f>
        <v>0.36924521017712997</v>
      </c>
    </row>
    <row r="92" spans="1:27" x14ac:dyDescent="0.25">
      <c r="F92" s="31" t="s">
        <v>50</v>
      </c>
      <c r="G92" s="31"/>
      <c r="H92" s="31"/>
      <c r="I92" s="31"/>
    </row>
    <row r="93" spans="1:27" x14ac:dyDescent="0.25">
      <c r="A93" s="18"/>
      <c r="B93" s="12"/>
      <c r="C93" s="12"/>
      <c r="D93" s="12">
        <v>0</v>
      </c>
      <c r="E93" s="12">
        <v>10</v>
      </c>
      <c r="F93" s="12">
        <v>20</v>
      </c>
      <c r="G93" s="12">
        <v>30</v>
      </c>
      <c r="H93" s="12">
        <v>40</v>
      </c>
      <c r="I93" s="12">
        <v>50</v>
      </c>
      <c r="J93" s="12">
        <v>60</v>
      </c>
      <c r="K93" s="12">
        <v>70</v>
      </c>
      <c r="L93" s="12">
        <v>80</v>
      </c>
      <c r="M93" s="12">
        <v>90</v>
      </c>
      <c r="N93" s="18" t="s">
        <v>21</v>
      </c>
    </row>
    <row r="94" spans="1:27" x14ac:dyDescent="0.25">
      <c r="A94" s="9"/>
      <c r="B94" s="5" t="s">
        <v>54</v>
      </c>
      <c r="C94" s="35" t="s">
        <v>55</v>
      </c>
      <c r="D94" s="21">
        <v>2852473.0155407302</v>
      </c>
      <c r="E94" s="21">
        <v>2834152.9834539699</v>
      </c>
      <c r="F94" s="21">
        <v>2833010.6483727102</v>
      </c>
      <c r="G94" s="21">
        <v>2785058.8000560598</v>
      </c>
      <c r="H94" s="21">
        <v>2789505.4168740101</v>
      </c>
      <c r="I94" s="21">
        <v>2812980.1377441501</v>
      </c>
      <c r="J94" s="21">
        <v>2779194.8798280801</v>
      </c>
      <c r="K94" s="21">
        <v>2761916.3334714901</v>
      </c>
      <c r="L94" s="21">
        <v>2769237.9158607</v>
      </c>
      <c r="M94" s="21">
        <v>2790419.7304192502</v>
      </c>
      <c r="N94" s="21">
        <f>AVERAGE(D94:M94)</f>
        <v>2800794.9861621158</v>
      </c>
    </row>
    <row r="95" spans="1:27" x14ac:dyDescent="0.25">
      <c r="A95" s="9"/>
      <c r="B95" s="5" t="s">
        <v>56</v>
      </c>
      <c r="C95" s="35" t="s">
        <v>55</v>
      </c>
      <c r="D95" s="21">
        <v>3027751.3785657301</v>
      </c>
      <c r="E95" s="21">
        <v>3041283.6301618</v>
      </c>
      <c r="F95" s="21">
        <v>2999712.4505099598</v>
      </c>
      <c r="G95" s="21">
        <v>2999158.8357098801</v>
      </c>
      <c r="H95" s="21">
        <v>2941005.29225086</v>
      </c>
      <c r="I95" s="21">
        <v>2967881.9891071902</v>
      </c>
      <c r="J95" s="21">
        <v>3022798.8383676899</v>
      </c>
      <c r="K95" s="21">
        <v>2952273.6083923099</v>
      </c>
      <c r="L95" s="21">
        <v>2943715.2243715799</v>
      </c>
      <c r="M95" s="21">
        <v>2958046.2113973401</v>
      </c>
      <c r="N95" s="21">
        <f>AVERAGE(D95:M95)</f>
        <v>2985362.7458834341</v>
      </c>
    </row>
    <row r="96" spans="1:27" x14ac:dyDescent="0.25">
      <c r="A96" s="9"/>
      <c r="B96" s="5"/>
      <c r="C96" s="35" t="s">
        <v>16</v>
      </c>
      <c r="D96" s="17">
        <f>(D95-D94)/D94</f>
        <v>6.1447860179589864E-2</v>
      </c>
      <c r="E96" s="17">
        <f t="shared" ref="E96:N96" si="40">(E95-E94)/E94</f>
        <v>7.3083791847891294E-2</v>
      </c>
      <c r="F96" s="17">
        <f t="shared" si="40"/>
        <v>5.8842631683366113E-2</v>
      </c>
      <c r="G96" s="17">
        <f t="shared" si="40"/>
        <v>7.6874511823416689E-2</v>
      </c>
      <c r="H96" s="17">
        <f t="shared" si="40"/>
        <v>5.4310658248021781E-2</v>
      </c>
      <c r="I96" s="17">
        <f t="shared" si="40"/>
        <v>5.5066813051606725E-2</v>
      </c>
      <c r="J96" s="17">
        <f t="shared" si="40"/>
        <v>8.7652708454428019E-2</v>
      </c>
      <c r="K96" s="17">
        <f t="shared" si="40"/>
        <v>6.8922172845676741E-2</v>
      </c>
      <c r="L96" s="17">
        <f t="shared" si="40"/>
        <v>6.3005532139932124E-2</v>
      </c>
      <c r="M96" s="17">
        <f t="shared" si="40"/>
        <v>6.007213866456735E-2</v>
      </c>
      <c r="N96" s="17">
        <f t="shared" si="40"/>
        <v>6.5898346945496525E-2</v>
      </c>
    </row>
    <row r="97" spans="1:25" x14ac:dyDescent="0.25">
      <c r="A97" s="9"/>
      <c r="B97" s="5" t="s">
        <v>47</v>
      </c>
      <c r="C97" s="5" t="s">
        <v>55</v>
      </c>
      <c r="D97" s="21">
        <v>3131951.1132001998</v>
      </c>
      <c r="E97" s="21">
        <v>3168722.1936935498</v>
      </c>
      <c r="F97" s="21">
        <v>3123641.6497424901</v>
      </c>
      <c r="G97" s="21">
        <v>3100206.06518385</v>
      </c>
      <c r="H97" s="21">
        <v>3162591.88959534</v>
      </c>
      <c r="I97" s="21">
        <v>3095707.1920799101</v>
      </c>
      <c r="J97" s="21">
        <v>3131350.5621952899</v>
      </c>
      <c r="K97" s="21">
        <v>3124979.29772051</v>
      </c>
      <c r="L97" s="21">
        <v>3118817.4541789</v>
      </c>
      <c r="M97" s="21">
        <v>3101775.3100050399</v>
      </c>
      <c r="N97" s="21">
        <f>AVERAGE(D97:M97)</f>
        <v>3125974.2727595074</v>
      </c>
    </row>
    <row r="98" spans="1:25" x14ac:dyDescent="0.25">
      <c r="A98" s="9"/>
      <c r="B98" s="5"/>
      <c r="C98" s="35" t="s">
        <v>16</v>
      </c>
      <c r="D98" s="14">
        <f>(D97-D94)/D94</f>
        <v>9.7977472928517856E-2</v>
      </c>
      <c r="E98" s="14">
        <f>(E97-E94)/E94</f>
        <v>0.11804910045181889</v>
      </c>
      <c r="F98" s="14">
        <f>(F97-F94)/F94</f>
        <v>0.10258733109129654</v>
      </c>
      <c r="G98" s="14">
        <f>(G97-G94)/G94</f>
        <v>0.11315641347372868</v>
      </c>
      <c r="H98" s="14">
        <f>(H97-H94)/H94</f>
        <v>0.13374645930582918</v>
      </c>
      <c r="I98" s="14">
        <f>(I97-I94)/I94</f>
        <v>0.1005080165843229</v>
      </c>
      <c r="J98" s="14">
        <f>(J97-J94)/J94</f>
        <v>0.12671140297617201</v>
      </c>
      <c r="K98" s="14">
        <f t="shared" ref="K98:M98" si="41">(K97-K94)/K94</f>
        <v>0.13145328113277102</v>
      </c>
      <c r="L98" s="14">
        <f t="shared" si="41"/>
        <v>0.1262367297211977</v>
      </c>
      <c r="M98" s="14">
        <f t="shared" si="41"/>
        <v>0.11158019569300053</v>
      </c>
      <c r="N98" s="17">
        <f t="shared" ref="N98:N100" si="42">AVERAGE(D98:M98)</f>
        <v>0.11620064033586552</v>
      </c>
    </row>
    <row r="99" spans="1:25" x14ac:dyDescent="0.25">
      <c r="A99" s="9"/>
      <c r="B99" s="5" t="s">
        <v>35</v>
      </c>
      <c r="C99" s="5" t="s">
        <v>55</v>
      </c>
      <c r="D99" s="21">
        <v>4120083.6128821298</v>
      </c>
      <c r="E99" s="21">
        <v>4130933.8119741301</v>
      </c>
      <c r="F99" s="21">
        <v>4072669.7859135298</v>
      </c>
      <c r="G99" s="21">
        <v>4116791.6666678698</v>
      </c>
      <c r="H99" s="21">
        <v>4071036.6442970498</v>
      </c>
      <c r="I99" s="21">
        <v>4058454.17567934</v>
      </c>
      <c r="J99" s="21">
        <v>4115511.8422423801</v>
      </c>
      <c r="K99" s="21">
        <v>4064295.4441169901</v>
      </c>
      <c r="L99" s="21">
        <v>4051206.17299886</v>
      </c>
      <c r="M99" s="21">
        <v>4092588.15267064</v>
      </c>
      <c r="N99" s="21">
        <f t="shared" si="42"/>
        <v>4089357.1309442916</v>
      </c>
    </row>
    <row r="100" spans="1:25" x14ac:dyDescent="0.25">
      <c r="A100" s="10"/>
      <c r="B100" s="7"/>
      <c r="C100" s="7" t="s">
        <v>16</v>
      </c>
      <c r="D100" s="15">
        <f>(D99-D94)/D94</f>
        <v>0.4443900399531403</v>
      </c>
      <c r="E100" s="15">
        <f>(E99-E94)/E94</f>
        <v>0.45755498594849281</v>
      </c>
      <c r="F100" s="15">
        <f>(F99-F94)/F94</f>
        <v>0.43757658950307282</v>
      </c>
      <c r="G100" s="15">
        <f>(G99-G94)/G94</f>
        <v>0.47817046684436387</v>
      </c>
      <c r="H100" s="15">
        <f>(H99-H94)/H94</f>
        <v>0.45941162891131998</v>
      </c>
      <c r="I100" s="15">
        <f>(I99-I94)/I94</f>
        <v>0.44275962749384684</v>
      </c>
      <c r="J100" s="20">
        <f>(J99-J94)/J94</f>
        <v>0.48082880841265946</v>
      </c>
      <c r="K100" s="15">
        <f t="shared" ref="K100:M100" si="43">(K99-K94)/K94</f>
        <v>0.47154908165104409</v>
      </c>
      <c r="L100" s="15">
        <f t="shared" si="43"/>
        <v>0.4629317870435537</v>
      </c>
      <c r="M100" s="15">
        <f t="shared" si="43"/>
        <v>0.46665682874014935</v>
      </c>
      <c r="N100" s="20">
        <f t="shared" si="42"/>
        <v>0.46018298445016426</v>
      </c>
    </row>
    <row r="101" spans="1:25" x14ac:dyDescent="0.25">
      <c r="A101" s="10"/>
      <c r="B101" s="7"/>
      <c r="C101" s="7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20"/>
    </row>
    <row r="102" spans="1:25" x14ac:dyDescent="0.25">
      <c r="N102" s="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</sheetData>
  <mergeCells count="2">
    <mergeCell ref="B82:N83"/>
    <mergeCell ref="F92:I92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6039-EA99-4EDA-86C5-EE62F2C3AA0C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dataInManu</vt:lpstr>
      <vt:lpstr>Sheet1</vt:lpstr>
      <vt:lpstr>Sheet2</vt:lpstr>
      <vt:lpstr>GPRS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Haitao LIU</dc:creator>
  <cp:lastModifiedBy>Haitao LIU</cp:lastModifiedBy>
  <dcterms:created xsi:type="dcterms:W3CDTF">2015-06-05T18:19:34Z</dcterms:created>
  <dcterms:modified xsi:type="dcterms:W3CDTF">2023-11-03T02:58:56Z</dcterms:modified>
</cp:coreProperties>
</file>