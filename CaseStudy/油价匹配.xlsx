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haita\MATLAB Drive\GPUCB\CaseStudy\"/>
    </mc:Choice>
  </mc:AlternateContent>
  <xr:revisionPtr revIDLastSave="0" documentId="13_ncr:1_{4291145F-CE13-40EF-BDDF-81E7929A7F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油价 (2)" sheetId="10" r:id="rId1"/>
    <sheet name="油价" sheetId="1" r:id="rId2"/>
    <sheet name="距离" sheetId="2" r:id="rId3"/>
    <sheet name="油耗（天数）" sheetId="9" r:id="rId4"/>
    <sheet name="油耗（标准）" sheetId="8" r:id="rId5"/>
    <sheet name="WpsReserved_CellImgList" sheetId="6" state="veryHidden" r:id="rId6"/>
  </sheets>
  <definedNames>
    <definedName name="_xlnm._FilterDatabase" localSheetId="1" hidden="1">油价!$O$4:$Q$21</definedName>
    <definedName name="_xlnm._FilterDatabase" localSheetId="0" hidden="1">'油价 (2)'!$H$4:$H$21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" i="10" l="1"/>
  <c r="P46" i="10"/>
  <c r="O46" i="10"/>
  <c r="Q45" i="10"/>
  <c r="P45" i="10"/>
  <c r="O45" i="10"/>
  <c r="Q44" i="10"/>
  <c r="P44" i="10"/>
  <c r="O44" i="10"/>
  <c r="Q43" i="10"/>
  <c r="P43" i="10"/>
  <c r="O43" i="10"/>
  <c r="Q42" i="10"/>
  <c r="P42" i="10"/>
  <c r="O42" i="10"/>
  <c r="Q41" i="10"/>
  <c r="P41" i="10"/>
  <c r="O41" i="10"/>
  <c r="Q40" i="10"/>
  <c r="P40" i="10"/>
  <c r="O40" i="10"/>
  <c r="Q39" i="10"/>
  <c r="P39" i="10"/>
  <c r="O39" i="10"/>
  <c r="Q38" i="10"/>
  <c r="P38" i="10"/>
  <c r="O38" i="10"/>
  <c r="Q37" i="10"/>
  <c r="P37" i="10"/>
  <c r="O37" i="10"/>
  <c r="Q36" i="10"/>
  <c r="P36" i="10"/>
  <c r="O36" i="10"/>
  <c r="Q35" i="10"/>
  <c r="P35" i="10"/>
  <c r="O35" i="10"/>
  <c r="Q34" i="10"/>
  <c r="P34" i="10"/>
  <c r="O34" i="10"/>
  <c r="Q33" i="10"/>
  <c r="P33" i="10"/>
  <c r="O33" i="10"/>
  <c r="Q32" i="10"/>
  <c r="P32" i="10"/>
  <c r="O32" i="10"/>
  <c r="Q31" i="10"/>
  <c r="P31" i="10"/>
  <c r="O31" i="10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Q5" i="10"/>
  <c r="P5" i="10"/>
  <c r="O5" i="10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21" i="8" s="1"/>
  <c r="C18" i="9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<sst xmlns="http://schemas.openxmlformats.org/spreadsheetml/2006/main" count="245" uniqueCount="80">
  <si>
    <t>航线：欧洲航线（远东——地中海航线）AEM1</t>
  </si>
  <si>
    <t>/</t>
  </si>
  <si>
    <t>船名：CSCL VENUS       航速：24 Kn      标准箱位：14074 TEU        往返时间：70天</t>
  </si>
  <si>
    <t>油的种类：VLSFO</t>
  </si>
  <si>
    <t>序号</t>
  </si>
  <si>
    <t>名称</t>
  </si>
  <si>
    <t>到港时间</t>
  </si>
  <si>
    <t>离港时间</t>
  </si>
  <si>
    <t>价格（$/吨）</t>
  </si>
  <si>
    <t>备注</t>
  </si>
  <si>
    <t>价格</t>
  </si>
  <si>
    <t>Qingdao</t>
  </si>
  <si>
    <t>Shanghai</t>
  </si>
  <si>
    <t>Ningbo</t>
  </si>
  <si>
    <t>Kaohsiung</t>
  </si>
  <si>
    <t>Hong Kong</t>
  </si>
  <si>
    <t>Yantian</t>
  </si>
  <si>
    <t>（蛇口油价）</t>
  </si>
  <si>
    <t>（Hong Kong代替）</t>
  </si>
  <si>
    <t>Singapore</t>
  </si>
  <si>
    <t>Piraeus</t>
  </si>
  <si>
    <t>La Spezia</t>
  </si>
  <si>
    <t>（Piraeus油价代替）</t>
  </si>
  <si>
    <t>Genoa</t>
  </si>
  <si>
    <t>（Cartagena油价代替）</t>
  </si>
  <si>
    <t>Fos</t>
  </si>
  <si>
    <t>Valencia</t>
  </si>
  <si>
    <t>Colombo</t>
  </si>
  <si>
    <t>Sinagpore</t>
  </si>
  <si>
    <t>欧洲航线（远东——地中海航线）AEM1
两港之间距离（海里）</t>
  </si>
  <si>
    <t>编号</t>
  </si>
  <si>
    <t>港口</t>
  </si>
  <si>
    <t>距离</t>
  </si>
  <si>
    <t>1-2</t>
  </si>
  <si>
    <t>Qingdao — Shanghai</t>
  </si>
  <si>
    <t>2-3</t>
  </si>
  <si>
    <t>Shanghai — Ningbo</t>
  </si>
  <si>
    <t>3-4</t>
  </si>
  <si>
    <t>Ningbo — Kaohsiung</t>
  </si>
  <si>
    <t>4-5</t>
  </si>
  <si>
    <t xml:space="preserve">Kaohsiung — Hong Kong </t>
  </si>
  <si>
    <t>5-6</t>
  </si>
  <si>
    <t>Hong Kong — Yantian</t>
  </si>
  <si>
    <t>6-7</t>
  </si>
  <si>
    <t>Yantian — Singapore</t>
  </si>
  <si>
    <t>7-8</t>
  </si>
  <si>
    <t>Singapore — Piraeus</t>
  </si>
  <si>
    <t>8-9</t>
  </si>
  <si>
    <t xml:space="preserve">Piraeus — La Spezia </t>
  </si>
  <si>
    <t>9-10</t>
  </si>
  <si>
    <t>La Spezia — Genoa</t>
  </si>
  <si>
    <t>10-11</t>
  </si>
  <si>
    <t xml:space="preserve">Genoa — Fos </t>
  </si>
  <si>
    <t>11-12</t>
  </si>
  <si>
    <t>Fos — Valencia</t>
  </si>
  <si>
    <t>12-13</t>
  </si>
  <si>
    <t>Valencia — Piraeus</t>
  </si>
  <si>
    <t>13-14</t>
  </si>
  <si>
    <t>Piraeus — Colombo</t>
  </si>
  <si>
    <t>14-15</t>
  </si>
  <si>
    <t xml:space="preserve">Colombo — Sinagpore </t>
  </si>
  <si>
    <t>15-16</t>
  </si>
  <si>
    <t xml:space="preserve">Sinagpore — Hong Kong </t>
  </si>
  <si>
    <t>16-17</t>
  </si>
  <si>
    <t>Hong Kong — Qingdao</t>
  </si>
  <si>
    <t>耗油量</t>
  </si>
  <si>
    <t>总油耗</t>
  </si>
  <si>
    <t>算法（港口距离/经济航速*单位油耗）</t>
  </si>
  <si>
    <t>经济航速 24节</t>
  </si>
  <si>
    <t>单位油耗   190/24</t>
  </si>
  <si>
    <t>0</t>
  </si>
  <si>
    <t>Minimum</t>
  </si>
  <si>
    <t>Average</t>
  </si>
  <si>
    <t>Maximum</t>
  </si>
  <si>
    <t>Shape</t>
  </si>
  <si>
    <t>Scale</t>
  </si>
  <si>
    <t>Port index</t>
  </si>
  <si>
    <t xml:space="preserve">Ports </t>
  </si>
  <si>
    <t>Indices</t>
  </si>
  <si>
    <t>Price (USD/ton)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</si>
</sst>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yyyy&quot;年&quot;m&quot;月&quot;d&quot;日&quot;;@"/>
    <numFmt numFmtId="169" formatCode="0.0"/>
  </numFmts>
  <fonts count="1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rgb="FF000000"/>
      <name val="宋体"/>
      <charset val="134"/>
    </font>
    <font>
      <b/>
      <sz val="16"/>
      <color rgb="FF000000"/>
      <name val="Times New Roman"/>
      <family val="1"/>
    </font>
    <font>
      <sz val="14"/>
      <color rgb="FF000000"/>
      <name val="宋体"/>
      <charset val="134"/>
    </font>
    <font>
      <b/>
      <sz val="14"/>
      <color rgb="FF000000"/>
      <name val="Times New Roman"/>
      <family val="1"/>
    </font>
    <font>
      <sz val="14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9"/>
      <color rgb="FF000000"/>
      <name val="Arial"/>
      <family val="2"/>
    </font>
    <font>
      <b/>
      <sz val="11"/>
      <color rgb="FF000000"/>
      <name val="Times New Roman"/>
      <family val="1"/>
    </font>
    <font>
      <b/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 applyProtection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0" fillId="0" borderId="0" xfId="0" applyFont="1" applyFill="1" applyAlignment="1" applyProtection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 applyProtection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0" fillId="2" borderId="0" xfId="0" applyFont="1" applyFill="1" applyAlignment="1" applyProtection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169" fontId="0" fillId="0" borderId="0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0" fontId="8" fillId="0" borderId="6" xfId="0" applyFont="1" applyFill="1" applyBorder="1" applyAlignment="1" applyProtection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65" fontId="8" fillId="0" borderId="6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</xf>
    <xf numFmtId="0" fontId="8" fillId="0" borderId="7" xfId="0" applyFont="1" applyFill="1" applyBorder="1" applyAlignment="1" applyProtection="1">
      <alignment horizontal="center" vertical="center"/>
    </xf>
    <xf numFmtId="0" fontId="10" fillId="0" borderId="7" xfId="0" applyFont="1" applyFill="1" applyBorder="1" applyAlignment="1" applyProtection="1">
      <alignment horizontal="center" vertical="center"/>
    </xf>
    <xf numFmtId="169" fontId="0" fillId="0" borderId="0" xfId="0" applyNumberFormat="1" applyFill="1" applyBorder="1" applyAlignment="1">
      <alignment horizontal="center" vertical="center"/>
    </xf>
    <xf numFmtId="169" fontId="8" fillId="0" borderId="0" xfId="0" applyNumberFormat="1" applyFont="1" applyFill="1" applyBorder="1" applyAlignment="1">
      <alignment horizontal="center" vertical="center"/>
    </xf>
    <xf numFmtId="169" fontId="0" fillId="0" borderId="7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www.wps.cn/officeDocument/2020/cellImage" Target="cellimag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C3F3-029D-403D-983B-4B3797BE59DB}">
  <dimension ref="A1:V47"/>
  <sheetViews>
    <sheetView tabSelected="1" workbookViewId="0">
      <pane xSplit="2" ySplit="3" topLeftCell="C28" activePane="bottomRight" state="frozen"/>
      <selection pane="topRight"/>
      <selection pane="bottomLeft"/>
      <selection pane="bottomRight" activeCell="U35" sqref="U35"/>
    </sheetView>
  </sheetViews>
  <sheetFormatPr defaultColWidth="9" defaultRowHeight="14.4"/>
  <cols>
    <col min="1" max="1" width="9" style="23" customWidth="1"/>
    <col min="2" max="2" width="11.33203125" style="23" customWidth="1"/>
    <col min="3" max="3" width="14.77734375" style="52" customWidth="1"/>
    <col min="4" max="4" width="22.109375" style="52" customWidth="1"/>
    <col min="5" max="5" width="12.33203125" style="23" customWidth="1"/>
    <col min="6" max="6" width="11.6640625" style="23" customWidth="1"/>
    <col min="7" max="7" width="11.109375" style="23" customWidth="1"/>
    <col min="8" max="8" width="9" style="23"/>
    <col min="9" max="10" width="9.109375" style="23" bestFit="1" customWidth="1"/>
    <col min="11" max="11" width="9.5546875" style="23" bestFit="1" customWidth="1"/>
    <col min="12" max="13" width="9.109375" style="23" bestFit="1" customWidth="1"/>
    <col min="14" max="15" width="9" style="23"/>
    <col min="16" max="16" width="15" style="52" customWidth="1"/>
    <col min="17" max="17" width="14.109375" style="52" bestFit="1" customWidth="1"/>
    <col min="18" max="19" width="9" style="23"/>
    <col min="20" max="21" width="9" style="52"/>
    <col min="22" max="16384" width="9" style="23"/>
  </cols>
  <sheetData>
    <row r="1" spans="1:22" ht="21.75" customHeight="1">
      <c r="A1" s="61" t="s">
        <v>0</v>
      </c>
      <c r="B1" s="62"/>
      <c r="C1" s="63"/>
      <c r="D1" s="63"/>
      <c r="E1" s="62"/>
      <c r="F1" s="62"/>
    </row>
    <row r="2" spans="1:22" ht="17.25" customHeight="1">
      <c r="A2" s="65" t="s">
        <v>2</v>
      </c>
      <c r="B2" s="66"/>
      <c r="C2" s="67"/>
      <c r="D2" s="67"/>
      <c r="E2" s="66"/>
      <c r="F2" s="66"/>
    </row>
    <row r="3" spans="1:22" ht="18" customHeight="1">
      <c r="A3" s="65" t="s">
        <v>3</v>
      </c>
      <c r="B3" s="65"/>
      <c r="C3" s="68"/>
      <c r="D3" s="68"/>
      <c r="E3" s="65"/>
      <c r="F3" s="65"/>
      <c r="G3" s="55"/>
      <c r="H3" s="55"/>
    </row>
    <row r="4" spans="1:22" ht="19.95" customHeight="1">
      <c r="A4" s="53" t="s">
        <v>4</v>
      </c>
      <c r="B4" s="53" t="s">
        <v>5</v>
      </c>
      <c r="C4" s="54" t="s">
        <v>6</v>
      </c>
      <c r="D4" s="54" t="s">
        <v>7</v>
      </c>
      <c r="E4" s="55" t="s">
        <v>8</v>
      </c>
      <c r="F4" s="55" t="s">
        <v>8</v>
      </c>
      <c r="G4" s="55" t="s">
        <v>8</v>
      </c>
      <c r="H4" s="55" t="s">
        <v>10</v>
      </c>
      <c r="I4" s="55" t="s">
        <v>10</v>
      </c>
      <c r="J4" s="55" t="s">
        <v>10</v>
      </c>
      <c r="K4" s="55" t="s">
        <v>10</v>
      </c>
      <c r="L4" s="55" t="s">
        <v>10</v>
      </c>
      <c r="M4" s="55" t="s">
        <v>10</v>
      </c>
      <c r="N4" s="55" t="s">
        <v>10</v>
      </c>
      <c r="O4" s="74" t="s">
        <v>71</v>
      </c>
      <c r="P4" s="75" t="s">
        <v>72</v>
      </c>
      <c r="Q4" s="75" t="s">
        <v>73</v>
      </c>
      <c r="R4" s="76" t="s">
        <v>74</v>
      </c>
      <c r="S4" s="74" t="s">
        <v>75</v>
      </c>
      <c r="T4" s="54"/>
      <c r="U4" s="54"/>
      <c r="V4" s="55"/>
    </row>
    <row r="5" spans="1:22" ht="19.95" customHeight="1">
      <c r="A5" s="53">
        <v>1</v>
      </c>
      <c r="B5" s="41" t="s">
        <v>11</v>
      </c>
      <c r="C5" s="52">
        <v>43985</v>
      </c>
      <c r="D5" s="52">
        <v>43986</v>
      </c>
      <c r="E5" s="23">
        <v>303</v>
      </c>
      <c r="F5" s="23">
        <v>362</v>
      </c>
      <c r="G5" s="23">
        <v>356.5</v>
      </c>
      <c r="H5" s="23">
        <v>439.5</v>
      </c>
      <c r="I5" s="23">
        <v>534.25</v>
      </c>
      <c r="J5" s="23">
        <v>507.75</v>
      </c>
      <c r="K5" s="23">
        <v>555.25</v>
      </c>
      <c r="L5" s="23">
        <v>616.75</v>
      </c>
      <c r="M5" s="23">
        <v>614.25</v>
      </c>
      <c r="N5" s="23">
        <v>742.75</v>
      </c>
      <c r="O5" s="35">
        <f>MIN(E5:N5)</f>
        <v>303</v>
      </c>
      <c r="P5" s="77">
        <f>AVERAGE(E5:N5)</f>
        <v>503.2</v>
      </c>
      <c r="Q5" s="77">
        <f>MAX(E5:N5)</f>
        <v>742.75</v>
      </c>
      <c r="R5" s="77">
        <v>14.1690248158298</v>
      </c>
      <c r="S5" s="77">
        <v>35.514088410503597</v>
      </c>
    </row>
    <row r="6" spans="1:22" ht="19.95" customHeight="1">
      <c r="A6" s="53">
        <v>2</v>
      </c>
      <c r="B6" s="41" t="s">
        <v>12</v>
      </c>
      <c r="C6" s="52">
        <v>43987</v>
      </c>
      <c r="D6" s="52">
        <v>43988</v>
      </c>
      <c r="E6" s="23">
        <v>316.75</v>
      </c>
      <c r="F6" s="23">
        <v>352.75</v>
      </c>
      <c r="G6" s="23">
        <v>347.5</v>
      </c>
      <c r="H6" s="23">
        <v>439.25</v>
      </c>
      <c r="I6" s="23">
        <v>539.5</v>
      </c>
      <c r="J6" s="23">
        <v>500.25</v>
      </c>
      <c r="K6" s="23">
        <v>561.75</v>
      </c>
      <c r="L6" s="23">
        <v>617.75</v>
      </c>
      <c r="M6" s="23">
        <v>610.25</v>
      </c>
      <c r="N6" s="23">
        <v>743</v>
      </c>
      <c r="O6" s="35">
        <f t="shared" ref="O6:O21" si="0">MIN(E6:N6)</f>
        <v>316.75</v>
      </c>
      <c r="P6" s="77">
        <f t="shared" ref="P6:P21" si="1">AVERAGE(E6:N6)</f>
        <v>502.875</v>
      </c>
      <c r="Q6" s="77">
        <f t="shared" ref="Q6:Q21" si="2">MAX(E6:N6)</f>
        <v>743</v>
      </c>
      <c r="R6" s="77">
        <v>14.1995735272421</v>
      </c>
      <c r="S6" s="77">
        <v>35.414796017304703</v>
      </c>
    </row>
    <row r="7" spans="1:22" ht="19.95" customHeight="1">
      <c r="A7" s="53">
        <v>3</v>
      </c>
      <c r="B7" s="41" t="s">
        <v>13</v>
      </c>
      <c r="C7" s="52">
        <v>43989</v>
      </c>
      <c r="D7" s="52">
        <v>43990</v>
      </c>
      <c r="E7" s="23">
        <v>296.5</v>
      </c>
      <c r="F7" s="23">
        <v>348.5</v>
      </c>
      <c r="G7" s="23">
        <v>345.75</v>
      </c>
      <c r="H7" s="23">
        <v>432.25</v>
      </c>
      <c r="I7" s="23">
        <v>532</v>
      </c>
      <c r="J7" s="23">
        <v>493.5</v>
      </c>
      <c r="K7" s="23">
        <v>554.25</v>
      </c>
      <c r="L7" s="23">
        <v>612.25</v>
      </c>
      <c r="M7" s="23">
        <v>591.5</v>
      </c>
      <c r="N7" s="23">
        <v>748.25</v>
      </c>
      <c r="O7" s="35">
        <f t="shared" si="0"/>
        <v>296.5</v>
      </c>
      <c r="P7" s="77">
        <f t="shared" si="1"/>
        <v>495.47500000000002</v>
      </c>
      <c r="Q7" s="77">
        <f t="shared" si="2"/>
        <v>748.25</v>
      </c>
      <c r="R7" s="77">
        <v>13.2726701853131</v>
      </c>
      <c r="S7" s="77">
        <v>37.330468781501899</v>
      </c>
    </row>
    <row r="8" spans="1:22" ht="19.95" customHeight="1">
      <c r="A8" s="53">
        <v>4</v>
      </c>
      <c r="B8" s="41" t="s">
        <v>14</v>
      </c>
      <c r="C8" s="52">
        <v>43991</v>
      </c>
      <c r="D8" s="52">
        <v>43992</v>
      </c>
      <c r="E8" s="57">
        <v>355</v>
      </c>
      <c r="F8" s="23">
        <v>374</v>
      </c>
      <c r="G8" s="23">
        <v>355</v>
      </c>
      <c r="H8" s="23">
        <v>443</v>
      </c>
      <c r="I8" s="23">
        <v>551</v>
      </c>
      <c r="J8" s="23">
        <v>518</v>
      </c>
      <c r="K8" s="23">
        <v>575</v>
      </c>
      <c r="L8" s="23">
        <v>650</v>
      </c>
      <c r="M8" s="23">
        <v>610</v>
      </c>
      <c r="N8" s="23">
        <v>839</v>
      </c>
      <c r="O8" s="35">
        <f t="shared" si="0"/>
        <v>355</v>
      </c>
      <c r="P8" s="77">
        <f t="shared" si="1"/>
        <v>527</v>
      </c>
      <c r="Q8" s="77">
        <f t="shared" si="2"/>
        <v>839</v>
      </c>
      <c r="R8" s="77">
        <v>13.6335878590245</v>
      </c>
      <c r="S8" s="77">
        <v>38.654535068049597</v>
      </c>
    </row>
    <row r="9" spans="1:22" ht="19.95" customHeight="1">
      <c r="A9" s="53">
        <v>5</v>
      </c>
      <c r="B9" s="41" t="s">
        <v>15</v>
      </c>
      <c r="C9" s="52">
        <v>43993</v>
      </c>
      <c r="D9" s="52">
        <v>43994</v>
      </c>
      <c r="E9" s="23">
        <v>313.75</v>
      </c>
      <c r="F9" s="23">
        <v>335.5</v>
      </c>
      <c r="G9" s="23">
        <v>308.75</v>
      </c>
      <c r="H9" s="23">
        <v>430</v>
      </c>
      <c r="I9" s="23">
        <v>502</v>
      </c>
      <c r="J9" s="23">
        <v>508.5</v>
      </c>
      <c r="K9" s="23">
        <v>532.25</v>
      </c>
      <c r="L9" s="23">
        <v>598.5</v>
      </c>
      <c r="M9" s="23">
        <v>611.5</v>
      </c>
      <c r="N9" s="23">
        <v>837.75</v>
      </c>
      <c r="O9" s="35">
        <f t="shared" si="0"/>
        <v>308.75</v>
      </c>
      <c r="P9" s="77">
        <f t="shared" si="1"/>
        <v>497.85</v>
      </c>
      <c r="Q9" s="77">
        <f t="shared" si="2"/>
        <v>837.75</v>
      </c>
      <c r="R9" s="77">
        <v>10.707759759843601</v>
      </c>
      <c r="S9" s="77">
        <v>46.494319182154698</v>
      </c>
    </row>
    <row r="10" spans="1:22" ht="19.95" customHeight="1">
      <c r="A10" s="53">
        <v>6</v>
      </c>
      <c r="B10" s="41" t="s">
        <v>16</v>
      </c>
      <c r="C10" s="52">
        <v>43995</v>
      </c>
      <c r="D10" s="52">
        <v>43995</v>
      </c>
      <c r="E10" s="23">
        <v>340</v>
      </c>
      <c r="F10" s="23">
        <v>370</v>
      </c>
      <c r="G10" s="23">
        <v>336</v>
      </c>
      <c r="H10" s="23">
        <v>441.25</v>
      </c>
      <c r="I10" s="23">
        <v>493.75</v>
      </c>
      <c r="J10" s="23">
        <v>509</v>
      </c>
      <c r="K10" s="23">
        <v>528.75</v>
      </c>
      <c r="L10" s="23">
        <v>611.25</v>
      </c>
      <c r="M10" s="23">
        <v>652</v>
      </c>
      <c r="N10" s="23">
        <v>739</v>
      </c>
      <c r="O10" s="35">
        <f t="shared" si="0"/>
        <v>336</v>
      </c>
      <c r="P10" s="77">
        <f t="shared" si="1"/>
        <v>502.1</v>
      </c>
      <c r="Q10" s="77">
        <f t="shared" si="2"/>
        <v>739</v>
      </c>
      <c r="R10" s="77">
        <v>15.1807006358479</v>
      </c>
      <c r="S10" s="77">
        <v>33.074889759325998</v>
      </c>
    </row>
    <row r="11" spans="1:22" ht="19.95" customHeight="1">
      <c r="A11" s="53">
        <v>7</v>
      </c>
      <c r="B11" s="41" t="s">
        <v>19</v>
      </c>
      <c r="C11" s="52">
        <v>43999</v>
      </c>
      <c r="D11" s="52">
        <v>44000</v>
      </c>
      <c r="E11" s="82">
        <v>330.5</v>
      </c>
      <c r="F11" s="82">
        <v>354.25</v>
      </c>
      <c r="G11" s="82">
        <v>322.25</v>
      </c>
      <c r="H11" s="82">
        <v>455.25</v>
      </c>
      <c r="I11" s="82">
        <v>486.75</v>
      </c>
      <c r="J11" s="82">
        <v>519.5</v>
      </c>
      <c r="K11" s="82">
        <v>526.5</v>
      </c>
      <c r="L11" s="82">
        <v>626.25</v>
      </c>
      <c r="M11" s="82">
        <v>642.75</v>
      </c>
      <c r="N11" s="82">
        <v>914.5</v>
      </c>
      <c r="O11" s="81">
        <f t="shared" si="0"/>
        <v>322.25</v>
      </c>
      <c r="P11" s="81">
        <f t="shared" si="1"/>
        <v>517.85</v>
      </c>
      <c r="Q11" s="77">
        <f t="shared" si="2"/>
        <v>914.5</v>
      </c>
      <c r="R11" s="77">
        <v>10.177432790332499</v>
      </c>
      <c r="S11" s="77">
        <v>50.882183225214199</v>
      </c>
    </row>
    <row r="12" spans="1:22" ht="19.95" customHeight="1">
      <c r="A12" s="53">
        <v>8</v>
      </c>
      <c r="B12" s="41" t="s">
        <v>20</v>
      </c>
      <c r="C12" s="56">
        <v>44014</v>
      </c>
      <c r="D12" s="52">
        <v>44015</v>
      </c>
      <c r="E12" s="82">
        <v>350.25</v>
      </c>
      <c r="F12" s="82">
        <v>320.5</v>
      </c>
      <c r="G12" s="82">
        <v>366.5</v>
      </c>
      <c r="H12" s="82">
        <v>452.25</v>
      </c>
      <c r="I12" s="82">
        <v>507</v>
      </c>
      <c r="J12" s="82">
        <v>582</v>
      </c>
      <c r="K12" s="82">
        <v>570.5</v>
      </c>
      <c r="L12" s="82">
        <v>676</v>
      </c>
      <c r="M12" s="82">
        <v>675.75</v>
      </c>
      <c r="N12" s="82">
        <v>1092.75</v>
      </c>
      <c r="O12" s="81">
        <f t="shared" si="0"/>
        <v>320.5</v>
      </c>
      <c r="P12" s="81">
        <f t="shared" si="1"/>
        <v>559.35</v>
      </c>
      <c r="Q12" s="77">
        <f t="shared" si="2"/>
        <v>1092.75</v>
      </c>
      <c r="R12" s="77">
        <v>7.8431111743362303</v>
      </c>
      <c r="S12" s="77">
        <v>71.317362149636807</v>
      </c>
    </row>
    <row r="13" spans="1:22" ht="19.95" customHeight="1">
      <c r="A13" s="53">
        <v>9</v>
      </c>
      <c r="B13" s="58" t="s">
        <v>21</v>
      </c>
      <c r="C13" s="52">
        <v>44017</v>
      </c>
      <c r="D13" s="52">
        <v>44019</v>
      </c>
      <c r="E13" s="82">
        <v>364.75</v>
      </c>
      <c r="F13" s="82">
        <v>314.25</v>
      </c>
      <c r="G13" s="82">
        <v>375.5</v>
      </c>
      <c r="H13" s="82">
        <v>457.25</v>
      </c>
      <c r="I13" s="82">
        <v>508.25</v>
      </c>
      <c r="J13" s="82">
        <v>581.75</v>
      </c>
      <c r="K13" s="82">
        <v>575.75</v>
      </c>
      <c r="L13" s="82">
        <v>672.25</v>
      </c>
      <c r="M13" s="82">
        <v>690</v>
      </c>
      <c r="N13" s="82">
        <v>1192.25</v>
      </c>
      <c r="O13" s="81">
        <f t="shared" si="0"/>
        <v>314.25</v>
      </c>
      <c r="P13" s="81">
        <f t="shared" si="1"/>
        <v>573.20000000000005</v>
      </c>
      <c r="Q13" s="77">
        <f t="shared" si="2"/>
        <v>1192.25</v>
      </c>
      <c r="R13" s="77">
        <v>7.0509774312173299</v>
      </c>
      <c r="S13" s="77">
        <v>81.293693759708901</v>
      </c>
    </row>
    <row r="14" spans="1:22" ht="19.95" customHeight="1">
      <c r="A14" s="53">
        <v>10</v>
      </c>
      <c r="B14" s="58" t="s">
        <v>23</v>
      </c>
      <c r="C14" s="52">
        <v>44019</v>
      </c>
      <c r="D14" s="52">
        <v>44021</v>
      </c>
      <c r="E14" s="82">
        <v>352.5</v>
      </c>
      <c r="F14" s="82">
        <v>368</v>
      </c>
      <c r="G14" s="82">
        <v>349.75</v>
      </c>
      <c r="H14" s="82">
        <v>476</v>
      </c>
      <c r="I14" s="82">
        <v>508</v>
      </c>
      <c r="J14" s="82">
        <v>541</v>
      </c>
      <c r="K14" s="82">
        <v>838</v>
      </c>
      <c r="L14" s="82">
        <v>679</v>
      </c>
      <c r="M14" s="82">
        <v>699.25</v>
      </c>
      <c r="N14" s="82">
        <v>1029.5</v>
      </c>
      <c r="O14" s="81">
        <f t="shared" si="0"/>
        <v>349.75</v>
      </c>
      <c r="P14" s="81">
        <f t="shared" si="1"/>
        <v>584.1</v>
      </c>
      <c r="Q14" s="77">
        <f t="shared" si="2"/>
        <v>1029.5</v>
      </c>
      <c r="R14" s="77">
        <v>7.9441812467826001</v>
      </c>
      <c r="S14" s="77">
        <v>73.525512806818298</v>
      </c>
    </row>
    <row r="15" spans="1:22" ht="19.95" customHeight="1">
      <c r="A15" s="53">
        <v>11</v>
      </c>
      <c r="B15" s="58" t="s">
        <v>25</v>
      </c>
      <c r="C15" s="52">
        <v>44022</v>
      </c>
      <c r="D15" s="52">
        <v>44023</v>
      </c>
      <c r="E15" s="82">
        <v>336.75</v>
      </c>
      <c r="F15" s="82">
        <v>374</v>
      </c>
      <c r="G15" s="82">
        <v>355</v>
      </c>
      <c r="H15" s="82">
        <v>475</v>
      </c>
      <c r="I15" s="82">
        <v>525</v>
      </c>
      <c r="J15" s="82">
        <v>552</v>
      </c>
      <c r="K15" s="82">
        <v>851</v>
      </c>
      <c r="L15" s="82">
        <v>673</v>
      </c>
      <c r="M15" s="82">
        <v>693</v>
      </c>
      <c r="N15" s="82">
        <v>1065</v>
      </c>
      <c r="O15" s="81">
        <f t="shared" si="0"/>
        <v>336.75</v>
      </c>
      <c r="P15" s="81">
        <f t="shared" si="1"/>
        <v>589.97500000000002</v>
      </c>
      <c r="Q15" s="77">
        <f t="shared" si="2"/>
        <v>1065</v>
      </c>
      <c r="R15" s="77">
        <v>7.5712115203654999</v>
      </c>
      <c r="S15" s="77">
        <v>77.923460256400205</v>
      </c>
    </row>
    <row r="16" spans="1:22" ht="19.95" customHeight="1">
      <c r="A16" s="53">
        <v>12</v>
      </c>
      <c r="B16" s="58" t="s">
        <v>26</v>
      </c>
      <c r="C16" s="52">
        <v>44024</v>
      </c>
      <c r="D16" s="52">
        <v>44025</v>
      </c>
      <c r="E16" s="82">
        <v>343</v>
      </c>
      <c r="F16" s="82">
        <v>374</v>
      </c>
      <c r="G16" s="82">
        <v>355</v>
      </c>
      <c r="H16" s="82">
        <v>475</v>
      </c>
      <c r="I16" s="82">
        <v>517.25</v>
      </c>
      <c r="J16" s="82">
        <v>585</v>
      </c>
      <c r="K16" s="82">
        <v>570</v>
      </c>
      <c r="L16" s="82">
        <v>673</v>
      </c>
      <c r="M16" s="82">
        <v>706.5</v>
      </c>
      <c r="N16" s="82">
        <v>1062.25</v>
      </c>
      <c r="O16" s="81">
        <f t="shared" si="0"/>
        <v>343</v>
      </c>
      <c r="P16" s="81">
        <f t="shared" si="1"/>
        <v>566.1</v>
      </c>
      <c r="Q16" s="77">
        <f t="shared" si="2"/>
        <v>1062.25</v>
      </c>
      <c r="R16" s="77">
        <v>8.7205655899494801</v>
      </c>
      <c r="S16" s="77">
        <v>64.915514270362806</v>
      </c>
    </row>
    <row r="17" spans="1:22" ht="19.95" customHeight="1">
      <c r="A17" s="53">
        <v>13</v>
      </c>
      <c r="B17" s="46" t="s">
        <v>20</v>
      </c>
      <c r="C17" s="52">
        <v>44029</v>
      </c>
      <c r="D17" s="52">
        <v>44030</v>
      </c>
      <c r="E17" s="82">
        <v>368.5</v>
      </c>
      <c r="F17" s="82">
        <v>326.25</v>
      </c>
      <c r="G17" s="82">
        <v>405.25</v>
      </c>
      <c r="H17" s="82">
        <v>505.5</v>
      </c>
      <c r="I17" s="82">
        <v>526.75</v>
      </c>
      <c r="J17" s="82">
        <v>606</v>
      </c>
      <c r="K17" s="82">
        <v>584.25</v>
      </c>
      <c r="L17" s="82">
        <v>638.5</v>
      </c>
      <c r="M17" s="82">
        <v>742.25</v>
      </c>
      <c r="N17" s="82">
        <v>1015.5</v>
      </c>
      <c r="O17" s="81">
        <f t="shared" si="0"/>
        <v>326.25</v>
      </c>
      <c r="P17" s="81">
        <f t="shared" si="1"/>
        <v>571.875</v>
      </c>
      <c r="Q17" s="77">
        <f t="shared" si="2"/>
        <v>1015.5</v>
      </c>
      <c r="R17" s="77">
        <v>9.6663330095505398</v>
      </c>
      <c r="S17" s="77">
        <v>59.161524792801501</v>
      </c>
    </row>
    <row r="18" spans="1:22" ht="19.95" customHeight="1">
      <c r="A18" s="53">
        <v>14</v>
      </c>
      <c r="B18" s="46" t="s">
        <v>27</v>
      </c>
      <c r="C18" s="52">
        <v>44041</v>
      </c>
      <c r="D18" s="52">
        <v>44042</v>
      </c>
      <c r="E18" s="82">
        <v>388.5</v>
      </c>
      <c r="F18" s="82">
        <v>355</v>
      </c>
      <c r="G18" s="82">
        <v>443</v>
      </c>
      <c r="H18" s="82">
        <v>564.25</v>
      </c>
      <c r="I18" s="82">
        <v>568.25</v>
      </c>
      <c r="J18" s="82">
        <v>585.75</v>
      </c>
      <c r="K18" s="82">
        <v>612.75</v>
      </c>
      <c r="L18" s="82">
        <v>661.25</v>
      </c>
      <c r="M18" s="85">
        <v>752.5</v>
      </c>
      <c r="N18" s="82">
        <v>934.75</v>
      </c>
      <c r="O18" s="81">
        <f t="shared" si="0"/>
        <v>355</v>
      </c>
      <c r="P18" s="81">
        <f t="shared" si="1"/>
        <v>586.6</v>
      </c>
      <c r="Q18" s="77">
        <f t="shared" si="2"/>
        <v>934.75</v>
      </c>
      <c r="R18" s="77">
        <v>13.0268716468757</v>
      </c>
      <c r="S18" s="77">
        <v>45.0299976772002</v>
      </c>
    </row>
    <row r="19" spans="1:22" ht="19.95" customHeight="1">
      <c r="A19" s="53">
        <v>15</v>
      </c>
      <c r="B19" s="46" t="s">
        <v>28</v>
      </c>
      <c r="C19" s="52">
        <v>44046</v>
      </c>
      <c r="D19" s="52">
        <v>44047</v>
      </c>
      <c r="E19" s="82">
        <v>340.75</v>
      </c>
      <c r="F19" s="82">
        <v>341.25</v>
      </c>
      <c r="G19" s="82">
        <v>396.75</v>
      </c>
      <c r="H19" s="82">
        <v>502</v>
      </c>
      <c r="I19" s="82">
        <v>504</v>
      </c>
      <c r="J19" s="82">
        <v>526.25</v>
      </c>
      <c r="K19" s="82">
        <v>577</v>
      </c>
      <c r="L19" s="82">
        <v>596.5</v>
      </c>
      <c r="M19" s="82">
        <v>759</v>
      </c>
      <c r="N19" s="82">
        <v>868</v>
      </c>
      <c r="O19" s="81">
        <f t="shared" si="0"/>
        <v>340.75</v>
      </c>
      <c r="P19" s="81">
        <f t="shared" si="1"/>
        <v>541.15</v>
      </c>
      <c r="Q19" s="77">
        <f t="shared" si="2"/>
        <v>868</v>
      </c>
      <c r="R19" s="77">
        <v>11.6366493316843</v>
      </c>
      <c r="S19" s="77">
        <v>46.503936363069201</v>
      </c>
    </row>
    <row r="20" spans="1:22" ht="19.95" customHeight="1">
      <c r="A20" s="53">
        <v>16</v>
      </c>
      <c r="B20" s="41" t="s">
        <v>15</v>
      </c>
      <c r="C20" s="52">
        <v>44051</v>
      </c>
      <c r="D20" s="52">
        <v>44052</v>
      </c>
      <c r="E20" s="82">
        <v>342.25</v>
      </c>
      <c r="F20" s="82">
        <v>325.75</v>
      </c>
      <c r="G20" s="82">
        <v>414.5</v>
      </c>
      <c r="H20" s="82">
        <v>526</v>
      </c>
      <c r="I20" s="82">
        <v>515.75</v>
      </c>
      <c r="J20" s="82">
        <v>541</v>
      </c>
      <c r="K20" s="82">
        <v>554.25</v>
      </c>
      <c r="L20" s="82">
        <v>601.57000000000005</v>
      </c>
      <c r="M20" s="82">
        <v>728.75</v>
      </c>
      <c r="N20" s="82">
        <v>875.25</v>
      </c>
      <c r="O20" s="81">
        <f t="shared" si="0"/>
        <v>325.75</v>
      </c>
      <c r="P20" s="81">
        <f t="shared" si="1"/>
        <v>542.50699999999995</v>
      </c>
      <c r="Q20" s="77">
        <f t="shared" si="2"/>
        <v>875.25</v>
      </c>
      <c r="R20" s="77">
        <v>11.903447561161901</v>
      </c>
      <c r="S20" s="77">
        <v>45.575619770029597</v>
      </c>
    </row>
    <row r="21" spans="1:22" ht="19.95" customHeight="1">
      <c r="A21" s="53">
        <v>17</v>
      </c>
      <c r="B21" s="41" t="s">
        <v>11</v>
      </c>
      <c r="C21" s="52">
        <v>44055</v>
      </c>
      <c r="E21" s="23">
        <v>362</v>
      </c>
      <c r="F21" s="23">
        <v>356.5</v>
      </c>
      <c r="G21" s="23">
        <v>439.5</v>
      </c>
      <c r="H21" s="23">
        <v>543.25</v>
      </c>
      <c r="I21" s="23">
        <v>507.75</v>
      </c>
      <c r="J21" s="23">
        <v>555.25</v>
      </c>
      <c r="K21" s="23">
        <v>616.75</v>
      </c>
      <c r="L21" s="23">
        <v>614.25</v>
      </c>
      <c r="M21" s="23">
        <v>742.75</v>
      </c>
      <c r="N21" s="23">
        <v>921.75</v>
      </c>
      <c r="O21" s="23">
        <f t="shared" si="0"/>
        <v>356.5</v>
      </c>
      <c r="P21" s="64">
        <f t="shared" si="1"/>
        <v>565.97500000000002</v>
      </c>
      <c r="Q21" s="64">
        <f t="shared" si="2"/>
        <v>921.75</v>
      </c>
    </row>
    <row r="23" spans="1:22">
      <c r="A23" s="64"/>
      <c r="B23" s="64"/>
      <c r="C23" s="64"/>
      <c r="D23" s="84" t="s">
        <v>76</v>
      </c>
      <c r="E23" s="79">
        <v>1</v>
      </c>
      <c r="F23" s="79">
        <v>2</v>
      </c>
      <c r="G23" s="79">
        <v>3</v>
      </c>
      <c r="H23" s="79">
        <v>4</v>
      </c>
      <c r="I23" s="79">
        <v>5</v>
      </c>
      <c r="J23" s="79">
        <v>6</v>
      </c>
      <c r="K23" s="79">
        <v>7</v>
      </c>
      <c r="L23" s="79">
        <v>8</v>
      </c>
      <c r="M23" s="79">
        <v>9</v>
      </c>
      <c r="N23" s="79">
        <v>10</v>
      </c>
      <c r="O23" s="79">
        <v>11</v>
      </c>
      <c r="P23" s="79">
        <v>12</v>
      </c>
      <c r="Q23" s="79">
        <v>13</v>
      </c>
      <c r="R23" s="79">
        <v>14</v>
      </c>
      <c r="S23" s="79">
        <v>15</v>
      </c>
      <c r="T23" s="79">
        <v>16</v>
      </c>
      <c r="U23" s="79">
        <v>17</v>
      </c>
    </row>
    <row r="24" spans="1:22">
      <c r="D24" s="35" t="s">
        <v>71</v>
      </c>
      <c r="E24" s="81">
        <v>303</v>
      </c>
      <c r="F24" s="81">
        <v>316.75</v>
      </c>
      <c r="G24" s="81">
        <v>296.5</v>
      </c>
      <c r="H24" s="81">
        <v>355</v>
      </c>
      <c r="I24" s="81">
        <v>308.75</v>
      </c>
      <c r="J24" s="81">
        <v>336</v>
      </c>
      <c r="K24" s="81">
        <v>322.25</v>
      </c>
      <c r="L24" s="81">
        <v>320.5</v>
      </c>
      <c r="M24" s="81">
        <v>314.25</v>
      </c>
      <c r="N24" s="81">
        <v>349.75</v>
      </c>
      <c r="O24" s="81">
        <v>336.75</v>
      </c>
      <c r="P24" s="81">
        <v>343</v>
      </c>
      <c r="Q24" s="81">
        <v>326.25</v>
      </c>
      <c r="R24" s="81">
        <v>355</v>
      </c>
      <c r="S24" s="81">
        <v>340.75</v>
      </c>
      <c r="T24" s="81">
        <v>325.75</v>
      </c>
      <c r="U24" s="81">
        <v>303</v>
      </c>
    </row>
    <row r="25" spans="1:22">
      <c r="D25" s="80" t="s">
        <v>72</v>
      </c>
      <c r="E25" s="81">
        <v>503.2</v>
      </c>
      <c r="F25" s="81">
        <v>502.875</v>
      </c>
      <c r="G25" s="81">
        <v>495.47500000000002</v>
      </c>
      <c r="H25" s="81">
        <v>527</v>
      </c>
      <c r="I25" s="81">
        <v>497.85</v>
      </c>
      <c r="J25" s="81">
        <v>502.1</v>
      </c>
      <c r="K25" s="81">
        <v>517.85</v>
      </c>
      <c r="L25" s="81">
        <v>559.35</v>
      </c>
      <c r="M25" s="81">
        <v>573.20000000000005</v>
      </c>
      <c r="N25" s="81">
        <v>584.1</v>
      </c>
      <c r="O25" s="81">
        <v>589.97500000000002</v>
      </c>
      <c r="P25" s="81">
        <v>566.1</v>
      </c>
      <c r="Q25" s="81">
        <v>571.875</v>
      </c>
      <c r="R25" s="81">
        <v>586.6</v>
      </c>
      <c r="S25" s="81">
        <v>541.15</v>
      </c>
      <c r="T25" s="81">
        <v>542.50699999999995</v>
      </c>
      <c r="U25" s="81">
        <v>503.2</v>
      </c>
    </row>
    <row r="26" spans="1:22">
      <c r="D26" s="80" t="s">
        <v>73</v>
      </c>
      <c r="E26" s="81">
        <v>742.75</v>
      </c>
      <c r="F26" s="81">
        <v>743</v>
      </c>
      <c r="G26" s="81">
        <v>748.25</v>
      </c>
      <c r="H26" s="81">
        <v>839</v>
      </c>
      <c r="I26" s="81">
        <v>837.75</v>
      </c>
      <c r="J26" s="81">
        <v>739</v>
      </c>
      <c r="K26" s="81">
        <v>914.5</v>
      </c>
      <c r="L26" s="81">
        <v>1092.75</v>
      </c>
      <c r="M26" s="81">
        <v>1192.25</v>
      </c>
      <c r="N26" s="81">
        <v>1029.5</v>
      </c>
      <c r="O26" s="81">
        <v>1065</v>
      </c>
      <c r="P26" s="81">
        <v>1062.25</v>
      </c>
      <c r="Q26" s="81">
        <v>1015.5</v>
      </c>
      <c r="R26" s="81">
        <v>934.75</v>
      </c>
      <c r="S26" s="81">
        <v>868</v>
      </c>
      <c r="T26" s="81">
        <v>875.25</v>
      </c>
      <c r="U26" s="81">
        <v>742.75</v>
      </c>
    </row>
    <row r="27" spans="1:22">
      <c r="D27" s="25" t="s">
        <v>74</v>
      </c>
      <c r="E27" s="81">
        <v>14.1690248158298</v>
      </c>
      <c r="F27" s="81">
        <v>14.1995735272421</v>
      </c>
      <c r="G27" s="81">
        <v>13.2726701853131</v>
      </c>
      <c r="H27" s="81">
        <v>13.6335878590245</v>
      </c>
      <c r="I27" s="81">
        <v>10.707759759843601</v>
      </c>
      <c r="J27" s="81">
        <v>15.1807006358479</v>
      </c>
      <c r="K27" s="81">
        <v>10.177432790332499</v>
      </c>
      <c r="L27" s="81">
        <v>7.8431111743362303</v>
      </c>
      <c r="M27" s="81">
        <v>7.0509774312173299</v>
      </c>
      <c r="N27" s="81">
        <v>7.9441812467826001</v>
      </c>
      <c r="O27" s="81">
        <v>7.5712115203654999</v>
      </c>
      <c r="P27" s="81">
        <v>8.7205655899494801</v>
      </c>
      <c r="Q27" s="81">
        <v>9.6663330095505398</v>
      </c>
      <c r="R27" s="81">
        <v>13.0268716468757</v>
      </c>
      <c r="S27" s="81">
        <v>11.6366493316843</v>
      </c>
      <c r="T27" s="81">
        <v>11.903447561161901</v>
      </c>
      <c r="U27" s="81">
        <v>14.1690248158298</v>
      </c>
    </row>
    <row r="28" spans="1:22">
      <c r="D28" s="78" t="s">
        <v>75</v>
      </c>
      <c r="E28" s="83">
        <v>35.514088410503597</v>
      </c>
      <c r="F28" s="83">
        <v>35.414796017304703</v>
      </c>
      <c r="G28" s="83">
        <v>37.330468781501899</v>
      </c>
      <c r="H28" s="83">
        <v>38.654535068049597</v>
      </c>
      <c r="I28" s="83">
        <v>46.494319182154698</v>
      </c>
      <c r="J28" s="83">
        <v>33.074889759325998</v>
      </c>
      <c r="K28" s="83">
        <v>50.882183225214199</v>
      </c>
      <c r="L28" s="83">
        <v>71.317362149636807</v>
      </c>
      <c r="M28" s="83">
        <v>81.293693759708901</v>
      </c>
      <c r="N28" s="83">
        <v>73.525512806818298</v>
      </c>
      <c r="O28" s="83">
        <v>77.923460256400205</v>
      </c>
      <c r="P28" s="83">
        <v>64.915514270362806</v>
      </c>
      <c r="Q28" s="83">
        <v>59.161524792801501</v>
      </c>
      <c r="R28" s="83">
        <v>45.0299976772002</v>
      </c>
      <c r="S28" s="83">
        <v>46.503936363069201</v>
      </c>
      <c r="T28" s="83">
        <v>45.575619770029597</v>
      </c>
      <c r="U28" s="83">
        <v>35.514088410503597</v>
      </c>
    </row>
    <row r="29" spans="1:22">
      <c r="I29" s="77"/>
      <c r="J29" s="77"/>
      <c r="K29" s="77"/>
      <c r="L29" s="77"/>
      <c r="M29" s="77"/>
    </row>
    <row r="30" spans="1:22" ht="19.95" customHeight="1">
      <c r="C30" s="87" t="s">
        <v>78</v>
      </c>
      <c r="D30" s="88" t="s">
        <v>77</v>
      </c>
      <c r="E30" s="89" t="s">
        <v>79</v>
      </c>
      <c r="F30" s="89"/>
      <c r="G30" s="89"/>
      <c r="H30" s="89"/>
      <c r="I30" s="89"/>
      <c r="J30" s="89"/>
      <c r="K30" s="89"/>
      <c r="L30" s="89"/>
      <c r="M30" s="89"/>
      <c r="N30" s="89"/>
      <c r="O30" s="90" t="s">
        <v>71</v>
      </c>
      <c r="P30" s="91" t="s">
        <v>72</v>
      </c>
      <c r="Q30" s="91" t="s">
        <v>73</v>
      </c>
      <c r="R30" s="92" t="s">
        <v>74</v>
      </c>
      <c r="S30" s="90" t="s">
        <v>75</v>
      </c>
      <c r="T30" s="54"/>
      <c r="U30" s="54"/>
      <c r="V30" s="55"/>
    </row>
    <row r="31" spans="1:22" ht="19.95" customHeight="1">
      <c r="C31" s="93">
        <v>1</v>
      </c>
      <c r="D31" s="86" t="s">
        <v>11</v>
      </c>
      <c r="E31" s="96">
        <v>303</v>
      </c>
      <c r="F31" s="96">
        <v>362</v>
      </c>
      <c r="G31" s="96">
        <v>356.5</v>
      </c>
      <c r="H31" s="96">
        <v>439.5</v>
      </c>
      <c r="I31" s="96">
        <v>534.25</v>
      </c>
      <c r="J31" s="96">
        <v>507.75</v>
      </c>
      <c r="K31" s="96">
        <v>555.25</v>
      </c>
      <c r="L31" s="96">
        <v>616.75</v>
      </c>
      <c r="M31" s="96">
        <v>614.25</v>
      </c>
      <c r="N31" s="96">
        <v>742.75</v>
      </c>
      <c r="O31" s="96">
        <f>MIN(E31:N31)</f>
        <v>303</v>
      </c>
      <c r="P31" s="96">
        <f>AVERAGE(E31:N31)</f>
        <v>503.2</v>
      </c>
      <c r="Q31" s="96">
        <f>MAX(E31:N31)</f>
        <v>742.75</v>
      </c>
      <c r="R31" s="96">
        <v>14.1690248158298</v>
      </c>
      <c r="S31" s="96">
        <v>35.514088410503597</v>
      </c>
    </row>
    <row r="32" spans="1:22" ht="19.95" customHeight="1">
      <c r="C32" s="93">
        <v>2</v>
      </c>
      <c r="D32" s="86" t="s">
        <v>12</v>
      </c>
      <c r="E32" s="96">
        <v>316.75</v>
      </c>
      <c r="F32" s="96">
        <v>352.75</v>
      </c>
      <c r="G32" s="96">
        <v>347.5</v>
      </c>
      <c r="H32" s="96">
        <v>439.25</v>
      </c>
      <c r="I32" s="96">
        <v>539.5</v>
      </c>
      <c r="J32" s="96">
        <v>500.25</v>
      </c>
      <c r="K32" s="96">
        <v>561.75</v>
      </c>
      <c r="L32" s="96">
        <v>617.75</v>
      </c>
      <c r="M32" s="96">
        <v>610.25</v>
      </c>
      <c r="N32" s="96">
        <v>743</v>
      </c>
      <c r="O32" s="96">
        <f t="shared" ref="O32:O47" si="3">MIN(E32:N32)</f>
        <v>316.75</v>
      </c>
      <c r="P32" s="96">
        <f t="shared" ref="P32:P47" si="4">AVERAGE(E32:N32)</f>
        <v>502.875</v>
      </c>
      <c r="Q32" s="96">
        <f t="shared" ref="Q32:Q47" si="5">MAX(E32:N32)</f>
        <v>743</v>
      </c>
      <c r="R32" s="96">
        <v>14.1995735272421</v>
      </c>
      <c r="S32" s="96">
        <v>35.414796017304703</v>
      </c>
    </row>
    <row r="33" spans="3:19" ht="19.95" customHeight="1">
      <c r="C33" s="93">
        <v>3</v>
      </c>
      <c r="D33" s="86" t="s">
        <v>13</v>
      </c>
      <c r="E33" s="96">
        <v>296.5</v>
      </c>
      <c r="F33" s="96">
        <v>348.5</v>
      </c>
      <c r="G33" s="96">
        <v>345.75</v>
      </c>
      <c r="H33" s="96">
        <v>432.25</v>
      </c>
      <c r="I33" s="96">
        <v>532</v>
      </c>
      <c r="J33" s="96">
        <v>493.5</v>
      </c>
      <c r="K33" s="96">
        <v>554.25</v>
      </c>
      <c r="L33" s="96">
        <v>612.25</v>
      </c>
      <c r="M33" s="96">
        <v>591.5</v>
      </c>
      <c r="N33" s="96">
        <v>748.25</v>
      </c>
      <c r="O33" s="96">
        <f t="shared" si="3"/>
        <v>296.5</v>
      </c>
      <c r="P33" s="96">
        <f t="shared" si="4"/>
        <v>495.47500000000002</v>
      </c>
      <c r="Q33" s="96">
        <f t="shared" si="5"/>
        <v>748.25</v>
      </c>
      <c r="R33" s="96">
        <v>13.2726701853131</v>
      </c>
      <c r="S33" s="96">
        <v>37.330468781501899</v>
      </c>
    </row>
    <row r="34" spans="3:19" ht="19.95" customHeight="1">
      <c r="C34" s="93">
        <v>4</v>
      </c>
      <c r="D34" s="86" t="s">
        <v>14</v>
      </c>
      <c r="E34" s="96">
        <v>355</v>
      </c>
      <c r="F34" s="96">
        <v>374</v>
      </c>
      <c r="G34" s="96">
        <v>355</v>
      </c>
      <c r="H34" s="96">
        <v>443</v>
      </c>
      <c r="I34" s="96">
        <v>551</v>
      </c>
      <c r="J34" s="96">
        <v>518</v>
      </c>
      <c r="K34" s="96">
        <v>575</v>
      </c>
      <c r="L34" s="96">
        <v>650</v>
      </c>
      <c r="M34" s="96">
        <v>610</v>
      </c>
      <c r="N34" s="96">
        <v>839</v>
      </c>
      <c r="O34" s="96">
        <f t="shared" si="3"/>
        <v>355</v>
      </c>
      <c r="P34" s="96">
        <f t="shared" si="4"/>
        <v>527</v>
      </c>
      <c r="Q34" s="96">
        <f t="shared" si="5"/>
        <v>839</v>
      </c>
      <c r="R34" s="96">
        <v>13.6335878590245</v>
      </c>
      <c r="S34" s="96">
        <v>38.654535068049597</v>
      </c>
    </row>
    <row r="35" spans="3:19" ht="19.95" customHeight="1">
      <c r="C35" s="93">
        <v>5</v>
      </c>
      <c r="D35" s="86" t="s">
        <v>15</v>
      </c>
      <c r="E35" s="96">
        <v>313.75</v>
      </c>
      <c r="F35" s="96">
        <v>335.5</v>
      </c>
      <c r="G35" s="96">
        <v>308.75</v>
      </c>
      <c r="H35" s="96">
        <v>430</v>
      </c>
      <c r="I35" s="96">
        <v>502</v>
      </c>
      <c r="J35" s="96">
        <v>508.5</v>
      </c>
      <c r="K35" s="96">
        <v>532.25</v>
      </c>
      <c r="L35" s="96">
        <v>598.5</v>
      </c>
      <c r="M35" s="96">
        <v>611.5</v>
      </c>
      <c r="N35" s="96">
        <v>837.75</v>
      </c>
      <c r="O35" s="96">
        <f t="shared" si="3"/>
        <v>308.75</v>
      </c>
      <c r="P35" s="96">
        <f t="shared" si="4"/>
        <v>497.85</v>
      </c>
      <c r="Q35" s="96">
        <f t="shared" si="5"/>
        <v>837.75</v>
      </c>
      <c r="R35" s="96">
        <v>10.707759759843601</v>
      </c>
      <c r="S35" s="96">
        <v>46.494319182154698</v>
      </c>
    </row>
    <row r="36" spans="3:19" ht="19.95" customHeight="1">
      <c r="C36" s="93">
        <v>6</v>
      </c>
      <c r="D36" s="86" t="s">
        <v>16</v>
      </c>
      <c r="E36" s="96">
        <v>340</v>
      </c>
      <c r="F36" s="96">
        <v>370</v>
      </c>
      <c r="G36" s="96">
        <v>336</v>
      </c>
      <c r="H36" s="96">
        <v>441.25</v>
      </c>
      <c r="I36" s="96">
        <v>493.75</v>
      </c>
      <c r="J36" s="96">
        <v>509</v>
      </c>
      <c r="K36" s="96">
        <v>528.75</v>
      </c>
      <c r="L36" s="96">
        <v>611.25</v>
      </c>
      <c r="M36" s="96">
        <v>652</v>
      </c>
      <c r="N36" s="96">
        <v>739</v>
      </c>
      <c r="O36" s="96">
        <f t="shared" si="3"/>
        <v>336</v>
      </c>
      <c r="P36" s="96">
        <f t="shared" si="4"/>
        <v>502.1</v>
      </c>
      <c r="Q36" s="96">
        <f t="shared" si="5"/>
        <v>739</v>
      </c>
      <c r="R36" s="96">
        <v>15.1807006358479</v>
      </c>
      <c r="S36" s="96">
        <v>33.074889759325998</v>
      </c>
    </row>
    <row r="37" spans="3:19" ht="19.95" customHeight="1">
      <c r="C37" s="93">
        <v>7</v>
      </c>
      <c r="D37" s="86" t="s">
        <v>19</v>
      </c>
      <c r="E37" s="96">
        <v>330.5</v>
      </c>
      <c r="F37" s="96">
        <v>354.25</v>
      </c>
      <c r="G37" s="96">
        <v>322.25</v>
      </c>
      <c r="H37" s="96">
        <v>455.25</v>
      </c>
      <c r="I37" s="96">
        <v>486.75</v>
      </c>
      <c r="J37" s="96">
        <v>519.5</v>
      </c>
      <c r="K37" s="96">
        <v>526.5</v>
      </c>
      <c r="L37" s="96">
        <v>626.25</v>
      </c>
      <c r="M37" s="96">
        <v>642.75</v>
      </c>
      <c r="N37" s="96">
        <v>914.5</v>
      </c>
      <c r="O37" s="96">
        <f t="shared" si="3"/>
        <v>322.25</v>
      </c>
      <c r="P37" s="96">
        <f t="shared" si="4"/>
        <v>517.85</v>
      </c>
      <c r="Q37" s="96">
        <f t="shared" si="5"/>
        <v>914.5</v>
      </c>
      <c r="R37" s="96">
        <v>10.177432790332499</v>
      </c>
      <c r="S37" s="96">
        <v>50.882183225214199</v>
      </c>
    </row>
    <row r="38" spans="3:19" ht="19.95" customHeight="1">
      <c r="C38" s="93">
        <v>8</v>
      </c>
      <c r="D38" s="86" t="s">
        <v>20</v>
      </c>
      <c r="E38" s="96">
        <v>350.25</v>
      </c>
      <c r="F38" s="96">
        <v>320.5</v>
      </c>
      <c r="G38" s="96">
        <v>366.5</v>
      </c>
      <c r="H38" s="96">
        <v>452.25</v>
      </c>
      <c r="I38" s="96">
        <v>507</v>
      </c>
      <c r="J38" s="96">
        <v>582</v>
      </c>
      <c r="K38" s="96">
        <v>570.5</v>
      </c>
      <c r="L38" s="96">
        <v>676</v>
      </c>
      <c r="M38" s="96">
        <v>675.75</v>
      </c>
      <c r="N38" s="96">
        <v>1092.75</v>
      </c>
      <c r="O38" s="96">
        <f t="shared" si="3"/>
        <v>320.5</v>
      </c>
      <c r="P38" s="96">
        <f t="shared" si="4"/>
        <v>559.35</v>
      </c>
      <c r="Q38" s="96">
        <f t="shared" si="5"/>
        <v>1092.75</v>
      </c>
      <c r="R38" s="96">
        <v>7.8431111743362303</v>
      </c>
      <c r="S38" s="96">
        <v>71.317362149636807</v>
      </c>
    </row>
    <row r="39" spans="3:19" ht="19.95" customHeight="1">
      <c r="C39" s="93">
        <v>9</v>
      </c>
      <c r="D39" s="86" t="s">
        <v>21</v>
      </c>
      <c r="E39" s="96">
        <v>364.75</v>
      </c>
      <c r="F39" s="96">
        <v>314.25</v>
      </c>
      <c r="G39" s="96">
        <v>375.5</v>
      </c>
      <c r="H39" s="96">
        <v>457.25</v>
      </c>
      <c r="I39" s="96">
        <v>508.25</v>
      </c>
      <c r="J39" s="96">
        <v>581.75</v>
      </c>
      <c r="K39" s="96">
        <v>575.75</v>
      </c>
      <c r="L39" s="96">
        <v>672.25</v>
      </c>
      <c r="M39" s="96">
        <v>690</v>
      </c>
      <c r="N39" s="96">
        <v>1192.25</v>
      </c>
      <c r="O39" s="96">
        <f t="shared" si="3"/>
        <v>314.25</v>
      </c>
      <c r="P39" s="96">
        <f t="shared" si="4"/>
        <v>573.20000000000005</v>
      </c>
      <c r="Q39" s="96">
        <f t="shared" si="5"/>
        <v>1192.25</v>
      </c>
      <c r="R39" s="96">
        <v>7.0509774312173299</v>
      </c>
      <c r="S39" s="96">
        <v>81.293693759708901</v>
      </c>
    </row>
    <row r="40" spans="3:19" ht="19.95" customHeight="1">
      <c r="C40" s="93">
        <v>10</v>
      </c>
      <c r="D40" s="86" t="s">
        <v>23</v>
      </c>
      <c r="E40" s="96">
        <v>352.5</v>
      </c>
      <c r="F40" s="96">
        <v>368</v>
      </c>
      <c r="G40" s="96">
        <v>349.75</v>
      </c>
      <c r="H40" s="96">
        <v>476</v>
      </c>
      <c r="I40" s="96">
        <v>508</v>
      </c>
      <c r="J40" s="96">
        <v>541</v>
      </c>
      <c r="K40" s="96">
        <v>838</v>
      </c>
      <c r="L40" s="96">
        <v>679</v>
      </c>
      <c r="M40" s="96">
        <v>699.25</v>
      </c>
      <c r="N40" s="96">
        <v>1029.5</v>
      </c>
      <c r="O40" s="96">
        <f t="shared" si="3"/>
        <v>349.75</v>
      </c>
      <c r="P40" s="96">
        <f t="shared" si="4"/>
        <v>584.1</v>
      </c>
      <c r="Q40" s="96">
        <f t="shared" si="5"/>
        <v>1029.5</v>
      </c>
      <c r="R40" s="96">
        <v>7.9441812467826001</v>
      </c>
      <c r="S40" s="96">
        <v>73.525512806818298</v>
      </c>
    </row>
    <row r="41" spans="3:19" ht="19.95" customHeight="1">
      <c r="C41" s="93">
        <v>11</v>
      </c>
      <c r="D41" s="86" t="s">
        <v>25</v>
      </c>
      <c r="E41" s="96">
        <v>336.75</v>
      </c>
      <c r="F41" s="96">
        <v>374</v>
      </c>
      <c r="G41" s="96">
        <v>355</v>
      </c>
      <c r="H41" s="96">
        <v>475</v>
      </c>
      <c r="I41" s="96">
        <v>525</v>
      </c>
      <c r="J41" s="96">
        <v>552</v>
      </c>
      <c r="K41" s="96">
        <v>851</v>
      </c>
      <c r="L41" s="96">
        <v>673</v>
      </c>
      <c r="M41" s="96">
        <v>693</v>
      </c>
      <c r="N41" s="96">
        <v>1065</v>
      </c>
      <c r="O41" s="96">
        <f t="shared" si="3"/>
        <v>336.75</v>
      </c>
      <c r="P41" s="96">
        <f t="shared" si="4"/>
        <v>589.97500000000002</v>
      </c>
      <c r="Q41" s="96">
        <f t="shared" si="5"/>
        <v>1065</v>
      </c>
      <c r="R41" s="96">
        <v>7.5712115203654999</v>
      </c>
      <c r="S41" s="96">
        <v>77.923460256400205</v>
      </c>
    </row>
    <row r="42" spans="3:19" ht="19.95" customHeight="1">
      <c r="C42" s="93">
        <v>12</v>
      </c>
      <c r="D42" s="86" t="s">
        <v>26</v>
      </c>
      <c r="E42" s="96">
        <v>343</v>
      </c>
      <c r="F42" s="96">
        <v>374</v>
      </c>
      <c r="G42" s="96">
        <v>355</v>
      </c>
      <c r="H42" s="96">
        <v>475</v>
      </c>
      <c r="I42" s="96">
        <v>517.25</v>
      </c>
      <c r="J42" s="96">
        <v>585</v>
      </c>
      <c r="K42" s="96">
        <v>570</v>
      </c>
      <c r="L42" s="96">
        <v>673</v>
      </c>
      <c r="M42" s="96">
        <v>706.5</v>
      </c>
      <c r="N42" s="96">
        <v>1062.25</v>
      </c>
      <c r="O42" s="96">
        <f t="shared" si="3"/>
        <v>343</v>
      </c>
      <c r="P42" s="96">
        <f t="shared" si="4"/>
        <v>566.1</v>
      </c>
      <c r="Q42" s="96">
        <f t="shared" si="5"/>
        <v>1062.25</v>
      </c>
      <c r="R42" s="96">
        <v>8.7205655899494801</v>
      </c>
      <c r="S42" s="96">
        <v>64.915514270362806</v>
      </c>
    </row>
    <row r="43" spans="3:19" ht="19.95" customHeight="1">
      <c r="C43" s="93">
        <v>13</v>
      </c>
      <c r="D43" s="86" t="s">
        <v>20</v>
      </c>
      <c r="E43" s="96">
        <v>368.5</v>
      </c>
      <c r="F43" s="96">
        <v>326.25</v>
      </c>
      <c r="G43" s="96">
        <v>405.25</v>
      </c>
      <c r="H43" s="96">
        <v>505.5</v>
      </c>
      <c r="I43" s="96">
        <v>526.75</v>
      </c>
      <c r="J43" s="96">
        <v>606</v>
      </c>
      <c r="K43" s="96">
        <v>584.25</v>
      </c>
      <c r="L43" s="96">
        <v>638.5</v>
      </c>
      <c r="M43" s="96">
        <v>742.25</v>
      </c>
      <c r="N43" s="96">
        <v>1015.5</v>
      </c>
      <c r="O43" s="96">
        <f t="shared" si="3"/>
        <v>326.25</v>
      </c>
      <c r="P43" s="96">
        <f t="shared" si="4"/>
        <v>571.875</v>
      </c>
      <c r="Q43" s="96">
        <f t="shared" si="5"/>
        <v>1015.5</v>
      </c>
      <c r="R43" s="96">
        <v>9.6663330095505398</v>
      </c>
      <c r="S43" s="96">
        <v>59.161524792801501</v>
      </c>
    </row>
    <row r="44" spans="3:19" ht="19.95" customHeight="1">
      <c r="C44" s="93">
        <v>14</v>
      </c>
      <c r="D44" s="86" t="s">
        <v>27</v>
      </c>
      <c r="E44" s="96">
        <v>388.5</v>
      </c>
      <c r="F44" s="96">
        <v>355</v>
      </c>
      <c r="G44" s="96">
        <v>443</v>
      </c>
      <c r="H44" s="96">
        <v>564.25</v>
      </c>
      <c r="I44" s="96">
        <v>568.25</v>
      </c>
      <c r="J44" s="96">
        <v>585.75</v>
      </c>
      <c r="K44" s="96">
        <v>612.75</v>
      </c>
      <c r="L44" s="96">
        <v>661.25</v>
      </c>
      <c r="M44" s="97">
        <v>752.5</v>
      </c>
      <c r="N44" s="96">
        <v>934.75</v>
      </c>
      <c r="O44" s="96">
        <f t="shared" si="3"/>
        <v>355</v>
      </c>
      <c r="P44" s="96">
        <f t="shared" si="4"/>
        <v>586.6</v>
      </c>
      <c r="Q44" s="96">
        <f t="shared" si="5"/>
        <v>934.75</v>
      </c>
      <c r="R44" s="96">
        <v>13.0268716468757</v>
      </c>
      <c r="S44" s="96">
        <v>45.0299976772002</v>
      </c>
    </row>
    <row r="45" spans="3:19" ht="19.95" customHeight="1">
      <c r="C45" s="93">
        <v>15</v>
      </c>
      <c r="D45" s="86" t="s">
        <v>28</v>
      </c>
      <c r="E45" s="96">
        <v>340.75</v>
      </c>
      <c r="F45" s="96">
        <v>341.25</v>
      </c>
      <c r="G45" s="96">
        <v>396.75</v>
      </c>
      <c r="H45" s="96">
        <v>502</v>
      </c>
      <c r="I45" s="96">
        <v>504</v>
      </c>
      <c r="J45" s="96">
        <v>526.25</v>
      </c>
      <c r="K45" s="96">
        <v>577</v>
      </c>
      <c r="L45" s="96">
        <v>596.5</v>
      </c>
      <c r="M45" s="96">
        <v>759</v>
      </c>
      <c r="N45" s="96">
        <v>868</v>
      </c>
      <c r="O45" s="96">
        <f t="shared" si="3"/>
        <v>340.75</v>
      </c>
      <c r="P45" s="96">
        <f t="shared" si="4"/>
        <v>541.15</v>
      </c>
      <c r="Q45" s="96">
        <f t="shared" si="5"/>
        <v>868</v>
      </c>
      <c r="R45" s="96">
        <v>11.6366493316843</v>
      </c>
      <c r="S45" s="96">
        <v>46.503936363069201</v>
      </c>
    </row>
    <row r="46" spans="3:19" ht="19.95" customHeight="1">
      <c r="C46" s="93">
        <v>16</v>
      </c>
      <c r="D46" s="86" t="s">
        <v>15</v>
      </c>
      <c r="E46" s="96">
        <v>342.25</v>
      </c>
      <c r="F46" s="96">
        <v>325.75</v>
      </c>
      <c r="G46" s="96">
        <v>414.5</v>
      </c>
      <c r="H46" s="96">
        <v>526</v>
      </c>
      <c r="I46" s="96">
        <v>515.75</v>
      </c>
      <c r="J46" s="96">
        <v>541</v>
      </c>
      <c r="K46" s="96">
        <v>554.25</v>
      </c>
      <c r="L46" s="96">
        <v>601.57000000000005</v>
      </c>
      <c r="M46" s="96">
        <v>728.75</v>
      </c>
      <c r="N46" s="96">
        <v>875.25</v>
      </c>
      <c r="O46" s="96">
        <f t="shared" si="3"/>
        <v>325.75</v>
      </c>
      <c r="P46" s="96">
        <f t="shared" si="4"/>
        <v>542.50699999999995</v>
      </c>
      <c r="Q46" s="96">
        <f t="shared" si="5"/>
        <v>875.25</v>
      </c>
      <c r="R46" s="96">
        <v>11.903447561161901</v>
      </c>
      <c r="S46" s="96">
        <v>45.575619770029597</v>
      </c>
    </row>
    <row r="47" spans="3:19" ht="19.95" customHeight="1">
      <c r="C47" s="94">
        <v>17</v>
      </c>
      <c r="D47" s="95" t="s">
        <v>11</v>
      </c>
      <c r="E47" s="98">
        <v>303</v>
      </c>
      <c r="F47" s="98">
        <v>362</v>
      </c>
      <c r="G47" s="98">
        <v>356.5</v>
      </c>
      <c r="H47" s="98">
        <v>439.5</v>
      </c>
      <c r="I47" s="98">
        <v>534.25</v>
      </c>
      <c r="J47" s="98">
        <v>507.75</v>
      </c>
      <c r="K47" s="98">
        <v>555.25</v>
      </c>
      <c r="L47" s="98">
        <v>616.75</v>
      </c>
      <c r="M47" s="98">
        <v>614.25</v>
      </c>
      <c r="N47" s="98">
        <v>742.75</v>
      </c>
      <c r="O47" s="98">
        <v>303</v>
      </c>
      <c r="P47" s="98">
        <v>503.2</v>
      </c>
      <c r="Q47" s="98">
        <v>742.75</v>
      </c>
      <c r="R47" s="98">
        <v>14.1690248158298</v>
      </c>
      <c r="S47" s="98">
        <v>35.514088410503597</v>
      </c>
    </row>
  </sheetData>
  <sheetProtection formatCells="0" insertHyperlinks="0" autoFilter="0"/>
  <autoFilter ref="H4:H21" xr:uid="{00000000-0009-0000-0000-000000000000}"/>
  <mergeCells count="3">
    <mergeCell ref="A2:F2"/>
    <mergeCell ref="A3:F3"/>
    <mergeCell ref="E30:N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"/>
  <sheetViews>
    <sheetView workbookViewId="0">
      <pane xSplit="2" ySplit="3" topLeftCell="C4" activePane="bottomRight" state="frozen"/>
      <selection pane="topRight"/>
      <selection pane="bottomLeft"/>
      <selection pane="bottomRight" activeCell="G25" sqref="G25"/>
    </sheetView>
  </sheetViews>
  <sheetFormatPr defaultColWidth="9" defaultRowHeight="14.4"/>
  <cols>
    <col min="1" max="1" width="9" style="23" customWidth="1"/>
    <col min="2" max="2" width="11.33203125" style="23" customWidth="1"/>
    <col min="3" max="4" width="14.44140625" style="52"/>
    <col min="5" max="5" width="12.33203125" style="23" customWidth="1"/>
    <col min="6" max="6" width="20" style="23" customWidth="1"/>
    <col min="7" max="8" width="15.6640625" style="52"/>
    <col min="9" max="9" width="11.6640625" style="23" customWidth="1"/>
    <col min="10" max="10" width="9" style="23"/>
    <col min="11" max="12" width="15.6640625" style="52"/>
    <col min="13" max="13" width="11.109375" style="23" customWidth="1"/>
    <col min="14" max="14" width="9" style="23"/>
    <col min="15" max="16" width="15.6640625" style="52"/>
    <col min="17" max="18" width="9" style="23"/>
    <col min="19" max="20" width="14.44140625" style="52"/>
    <col min="21" max="21" width="9" style="23"/>
    <col min="22" max="22" width="13.109375" style="23" customWidth="1"/>
    <col min="23" max="24" width="14.44140625" style="52"/>
    <col min="25" max="26" width="9" style="23"/>
    <col min="27" max="28" width="14.44140625" style="23" customWidth="1"/>
    <col min="29" max="30" width="9" style="23"/>
    <col min="31" max="32" width="15.6640625" style="52"/>
    <col min="33" max="34" width="9" style="23"/>
    <col min="35" max="35" width="14.44140625" style="23" customWidth="1"/>
    <col min="36" max="36" width="15.6640625" style="23" customWidth="1"/>
    <col min="37" max="38" width="9" style="23"/>
    <col min="39" max="39" width="15.6640625" style="52" customWidth="1"/>
    <col min="40" max="40" width="14.44140625" style="52"/>
    <col min="41" max="42" width="9" style="23"/>
    <col min="43" max="44" width="14.44140625" style="52"/>
    <col min="45" max="46" width="9" style="23"/>
    <col min="47" max="48" width="9" style="52"/>
    <col min="49" max="16384" width="9" style="23"/>
  </cols>
  <sheetData>
    <row r="1" spans="1:49" ht="21.75" customHeight="1">
      <c r="A1" s="65" t="s">
        <v>0</v>
      </c>
      <c r="B1" s="66"/>
      <c r="C1" s="67"/>
      <c r="D1" s="67"/>
      <c r="E1" s="66"/>
      <c r="F1" s="66"/>
      <c r="G1" s="67"/>
      <c r="H1" s="67"/>
      <c r="I1" s="66"/>
      <c r="K1"/>
      <c r="O1" s="54" t="s">
        <v>1</v>
      </c>
    </row>
    <row r="2" spans="1:49" ht="17.25" customHeight="1">
      <c r="A2" s="65" t="s">
        <v>2</v>
      </c>
      <c r="B2" s="66"/>
      <c r="C2" s="67"/>
      <c r="D2" s="67"/>
      <c r="E2" s="66"/>
      <c r="F2" s="66"/>
      <c r="G2" s="67"/>
      <c r="H2" s="67"/>
      <c r="I2" s="66"/>
    </row>
    <row r="3" spans="1:49" ht="18" customHeight="1">
      <c r="A3" s="65" t="s">
        <v>3</v>
      </c>
      <c r="B3" s="65"/>
      <c r="C3" s="68"/>
      <c r="D3" s="68"/>
      <c r="E3" s="65"/>
      <c r="F3" s="65"/>
      <c r="G3" s="68"/>
      <c r="H3" s="68"/>
      <c r="I3" s="65"/>
      <c r="J3" s="55"/>
      <c r="K3" s="54"/>
      <c r="L3" s="54"/>
      <c r="M3" s="55"/>
      <c r="N3" s="55"/>
      <c r="O3" s="54"/>
      <c r="P3" s="54"/>
      <c r="Q3" s="55"/>
      <c r="R3" s="55"/>
      <c r="S3" s="54"/>
    </row>
    <row r="4" spans="1:49" ht="19.95" customHeight="1">
      <c r="A4" s="53" t="s">
        <v>4</v>
      </c>
      <c r="B4" s="53" t="s">
        <v>5</v>
      </c>
      <c r="C4" s="54" t="s">
        <v>6</v>
      </c>
      <c r="D4" s="54" t="s">
        <v>7</v>
      </c>
      <c r="E4" s="55" t="s">
        <v>8</v>
      </c>
      <c r="F4" s="55" t="s">
        <v>9</v>
      </c>
      <c r="G4" s="54" t="s">
        <v>6</v>
      </c>
      <c r="H4" s="54" t="s">
        <v>7</v>
      </c>
      <c r="I4" s="55" t="s">
        <v>8</v>
      </c>
      <c r="J4" s="55" t="s">
        <v>9</v>
      </c>
      <c r="K4" s="54" t="s">
        <v>6</v>
      </c>
      <c r="L4" s="54" t="s">
        <v>7</v>
      </c>
      <c r="M4" s="55" t="s">
        <v>8</v>
      </c>
      <c r="O4" s="54" t="s">
        <v>6</v>
      </c>
      <c r="P4" s="54" t="s">
        <v>7</v>
      </c>
      <c r="Q4" s="55" t="s">
        <v>10</v>
      </c>
      <c r="R4" s="55"/>
      <c r="S4" s="54" t="s">
        <v>6</v>
      </c>
      <c r="T4" s="54" t="s">
        <v>7</v>
      </c>
      <c r="U4" s="55" t="s">
        <v>10</v>
      </c>
      <c r="V4" s="55"/>
      <c r="W4" s="54" t="s">
        <v>6</v>
      </c>
      <c r="X4" s="54" t="s">
        <v>7</v>
      </c>
      <c r="Y4" s="55" t="s">
        <v>10</v>
      </c>
      <c r="AA4" s="54" t="s">
        <v>6</v>
      </c>
      <c r="AB4" s="54" t="s">
        <v>7</v>
      </c>
      <c r="AC4" s="55" t="s">
        <v>10</v>
      </c>
      <c r="AE4" s="54" t="s">
        <v>6</v>
      </c>
      <c r="AF4" s="54" t="s">
        <v>7</v>
      </c>
      <c r="AG4" s="55" t="s">
        <v>10</v>
      </c>
      <c r="AI4" s="54" t="s">
        <v>6</v>
      </c>
      <c r="AJ4" s="54" t="s">
        <v>7</v>
      </c>
      <c r="AK4" s="55" t="s">
        <v>10</v>
      </c>
      <c r="AM4" s="54" t="s">
        <v>6</v>
      </c>
      <c r="AN4" s="54" t="s">
        <v>7</v>
      </c>
      <c r="AO4" s="55" t="s">
        <v>10</v>
      </c>
      <c r="AQ4" s="54"/>
      <c r="AR4" s="54"/>
      <c r="AS4" s="55"/>
      <c r="AU4" s="54"/>
      <c r="AV4" s="54"/>
      <c r="AW4" s="55"/>
    </row>
    <row r="5" spans="1:49" ht="19.95" customHeight="1">
      <c r="A5" s="53">
        <v>1</v>
      </c>
      <c r="B5" s="41" t="s">
        <v>11</v>
      </c>
      <c r="C5" s="52">
        <v>43985</v>
      </c>
      <c r="D5" s="52">
        <v>43986</v>
      </c>
      <c r="E5" s="23">
        <v>303</v>
      </c>
      <c r="G5" s="56">
        <v>44055</v>
      </c>
      <c r="H5" s="52">
        <v>44056</v>
      </c>
      <c r="I5" s="23">
        <v>362</v>
      </c>
      <c r="K5" s="56">
        <v>44125</v>
      </c>
      <c r="L5" s="52">
        <v>44126</v>
      </c>
      <c r="M5" s="23">
        <v>356.5</v>
      </c>
      <c r="O5" s="56">
        <v>44195</v>
      </c>
      <c r="P5" s="52">
        <v>44196</v>
      </c>
      <c r="Q5" s="23">
        <v>439.5</v>
      </c>
      <c r="S5" s="52">
        <v>44265</v>
      </c>
      <c r="T5" s="52">
        <v>44266</v>
      </c>
      <c r="U5" s="23">
        <v>534.25</v>
      </c>
      <c r="W5" s="52">
        <v>44335</v>
      </c>
      <c r="X5" s="52">
        <v>44336</v>
      </c>
      <c r="Y5" s="23">
        <v>507.75</v>
      </c>
      <c r="AA5" s="52">
        <v>44405</v>
      </c>
      <c r="AB5" s="52">
        <v>44406</v>
      </c>
      <c r="AC5" s="23">
        <v>555.25</v>
      </c>
      <c r="AE5" s="52">
        <v>44475</v>
      </c>
      <c r="AF5" s="52">
        <v>44476</v>
      </c>
      <c r="AG5" s="23">
        <v>616.75</v>
      </c>
      <c r="AI5" s="60">
        <v>44545</v>
      </c>
      <c r="AJ5" s="60">
        <v>44546</v>
      </c>
      <c r="AK5" s="23">
        <v>614.25</v>
      </c>
      <c r="AM5" s="52">
        <v>44615</v>
      </c>
      <c r="AN5" s="52">
        <v>44616</v>
      </c>
      <c r="AO5" s="23">
        <v>742.75</v>
      </c>
    </row>
    <row r="6" spans="1:49" ht="19.95" customHeight="1">
      <c r="A6" s="53">
        <v>2</v>
      </c>
      <c r="B6" s="41" t="s">
        <v>12</v>
      </c>
      <c r="C6" s="52">
        <v>43987</v>
      </c>
      <c r="D6" s="52">
        <v>43988</v>
      </c>
      <c r="E6" s="23">
        <v>316.75</v>
      </c>
      <c r="G6" s="52">
        <v>44057</v>
      </c>
      <c r="H6" s="52">
        <v>44058</v>
      </c>
      <c r="I6" s="23">
        <v>352.75</v>
      </c>
      <c r="K6" s="52">
        <v>44127</v>
      </c>
      <c r="L6" s="52">
        <v>44128</v>
      </c>
      <c r="M6" s="23">
        <v>347.5</v>
      </c>
      <c r="O6" s="52">
        <v>44197</v>
      </c>
      <c r="P6" s="52">
        <v>44198</v>
      </c>
      <c r="Q6" s="23">
        <v>439.25</v>
      </c>
      <c r="S6" s="52">
        <v>44267</v>
      </c>
      <c r="T6" s="52">
        <v>44268</v>
      </c>
      <c r="U6" s="23">
        <v>539.5</v>
      </c>
      <c r="W6" s="52">
        <v>44337</v>
      </c>
      <c r="X6" s="52">
        <v>44338</v>
      </c>
      <c r="Y6" s="23">
        <v>500.25</v>
      </c>
      <c r="AA6" s="60">
        <v>44407</v>
      </c>
      <c r="AB6" s="60">
        <v>44408</v>
      </c>
      <c r="AC6" s="23">
        <v>561.75</v>
      </c>
      <c r="AE6" s="52">
        <v>44477</v>
      </c>
      <c r="AF6" s="52">
        <v>44478</v>
      </c>
      <c r="AG6" s="23">
        <v>617.75</v>
      </c>
      <c r="AI6" s="60">
        <v>44547</v>
      </c>
      <c r="AJ6" s="60">
        <v>44548</v>
      </c>
      <c r="AK6" s="23">
        <v>610.25</v>
      </c>
      <c r="AM6" s="52">
        <v>44617</v>
      </c>
      <c r="AN6" s="52">
        <v>44618</v>
      </c>
      <c r="AO6" s="23">
        <v>743</v>
      </c>
    </row>
    <row r="7" spans="1:49" ht="19.95" customHeight="1">
      <c r="A7" s="53">
        <v>3</v>
      </c>
      <c r="B7" s="41" t="s">
        <v>13</v>
      </c>
      <c r="C7" s="52">
        <v>43989</v>
      </c>
      <c r="D7" s="52">
        <v>43990</v>
      </c>
      <c r="E7" s="23">
        <v>296.5</v>
      </c>
      <c r="G7" s="52">
        <v>44059</v>
      </c>
      <c r="H7" s="52">
        <v>44060</v>
      </c>
      <c r="I7" s="23">
        <v>348.5</v>
      </c>
      <c r="K7" s="52">
        <v>44129</v>
      </c>
      <c r="L7" s="52">
        <v>44130</v>
      </c>
      <c r="M7" s="23">
        <v>345.75</v>
      </c>
      <c r="O7" s="52">
        <v>44199</v>
      </c>
      <c r="P7" s="52">
        <v>44200</v>
      </c>
      <c r="Q7" s="23">
        <v>432.25</v>
      </c>
      <c r="S7" s="52">
        <v>44269</v>
      </c>
      <c r="T7" s="52">
        <v>44270</v>
      </c>
      <c r="U7" s="23">
        <v>532</v>
      </c>
      <c r="W7" s="52">
        <v>44339</v>
      </c>
      <c r="X7" s="52">
        <v>44340</v>
      </c>
      <c r="Y7" s="23">
        <v>493.5</v>
      </c>
      <c r="AA7" s="60">
        <v>44409</v>
      </c>
      <c r="AB7" s="60">
        <v>44410</v>
      </c>
      <c r="AC7" s="23">
        <v>554.25</v>
      </c>
      <c r="AE7" s="52">
        <v>44479</v>
      </c>
      <c r="AF7" s="52">
        <v>44480</v>
      </c>
      <c r="AG7" s="23">
        <v>612.25</v>
      </c>
      <c r="AI7" s="60">
        <v>44549</v>
      </c>
      <c r="AJ7" s="60">
        <v>44550</v>
      </c>
      <c r="AK7" s="23">
        <v>591.5</v>
      </c>
      <c r="AM7" s="52">
        <v>44619</v>
      </c>
      <c r="AN7" s="52">
        <v>44620</v>
      </c>
      <c r="AO7" s="23">
        <v>748.25</v>
      </c>
    </row>
    <row r="8" spans="1:49" ht="19.95" customHeight="1">
      <c r="A8" s="53">
        <v>4</v>
      </c>
      <c r="B8" s="41" t="s">
        <v>14</v>
      </c>
      <c r="C8" s="52">
        <v>43991</v>
      </c>
      <c r="D8" s="52">
        <v>43992</v>
      </c>
      <c r="E8" s="57">
        <v>355</v>
      </c>
      <c r="G8" s="52">
        <v>44061</v>
      </c>
      <c r="H8" s="52">
        <v>44062</v>
      </c>
      <c r="I8" s="23">
        <v>374</v>
      </c>
      <c r="K8" s="52">
        <v>44131</v>
      </c>
      <c r="L8" s="52">
        <v>44132</v>
      </c>
      <c r="M8" s="23">
        <v>355</v>
      </c>
      <c r="O8" s="52">
        <v>44201</v>
      </c>
      <c r="P8" s="52">
        <v>44202</v>
      </c>
      <c r="Q8" s="23">
        <v>443</v>
      </c>
      <c r="S8" s="52">
        <v>44271</v>
      </c>
      <c r="T8" s="52">
        <v>44272</v>
      </c>
      <c r="U8" s="23">
        <v>551</v>
      </c>
      <c r="W8" s="52">
        <v>44341</v>
      </c>
      <c r="X8" s="52">
        <v>44342</v>
      </c>
      <c r="Y8" s="23">
        <v>518</v>
      </c>
      <c r="AA8" s="60">
        <v>44411</v>
      </c>
      <c r="AB8" s="60">
        <v>44412</v>
      </c>
      <c r="AC8" s="23">
        <v>575</v>
      </c>
      <c r="AE8" s="52">
        <v>44481</v>
      </c>
      <c r="AF8" s="52">
        <v>44482</v>
      </c>
      <c r="AG8" s="23">
        <v>650</v>
      </c>
      <c r="AI8" s="60">
        <v>44551</v>
      </c>
      <c r="AJ8" s="60">
        <v>44552</v>
      </c>
      <c r="AK8" s="23">
        <v>610</v>
      </c>
      <c r="AM8" s="54">
        <v>44621</v>
      </c>
      <c r="AN8" s="52">
        <v>44622</v>
      </c>
      <c r="AO8" s="23">
        <v>839</v>
      </c>
    </row>
    <row r="9" spans="1:49" ht="19.95" customHeight="1">
      <c r="A9" s="53">
        <v>5</v>
      </c>
      <c r="B9" s="41" t="s">
        <v>15</v>
      </c>
      <c r="C9" s="52">
        <v>43993</v>
      </c>
      <c r="D9" s="52">
        <v>43994</v>
      </c>
      <c r="E9" s="23">
        <v>313.75</v>
      </c>
      <c r="G9" s="52">
        <v>44063</v>
      </c>
      <c r="H9" s="52">
        <v>44064</v>
      </c>
      <c r="I9" s="23">
        <v>335.5</v>
      </c>
      <c r="K9" s="52">
        <v>44133</v>
      </c>
      <c r="L9" s="52">
        <v>44134</v>
      </c>
      <c r="M9" s="23">
        <v>308.75</v>
      </c>
      <c r="O9" s="52">
        <v>44203</v>
      </c>
      <c r="P9" s="52">
        <v>44204</v>
      </c>
      <c r="Q9" s="23">
        <v>430</v>
      </c>
      <c r="S9" s="52">
        <v>44273</v>
      </c>
      <c r="T9" s="52">
        <v>44274</v>
      </c>
      <c r="U9" s="23">
        <v>502</v>
      </c>
      <c r="W9" s="52">
        <v>44343</v>
      </c>
      <c r="X9" s="54">
        <v>44344</v>
      </c>
      <c r="Y9" s="23">
        <v>508.5</v>
      </c>
      <c r="AA9" s="60">
        <v>44413</v>
      </c>
      <c r="AB9" s="60">
        <v>44414</v>
      </c>
      <c r="AC9" s="23">
        <v>532.25</v>
      </c>
      <c r="AE9" s="52">
        <v>44483</v>
      </c>
      <c r="AF9" s="52">
        <v>44484</v>
      </c>
      <c r="AG9" s="23">
        <v>598.5</v>
      </c>
      <c r="AI9" s="60">
        <v>44553</v>
      </c>
      <c r="AJ9" s="60">
        <v>44554</v>
      </c>
      <c r="AK9" s="23">
        <v>611.5</v>
      </c>
      <c r="AM9" s="52">
        <v>44623</v>
      </c>
      <c r="AN9" s="52">
        <v>44624</v>
      </c>
      <c r="AO9" s="23">
        <v>837.75</v>
      </c>
    </row>
    <row r="10" spans="1:49" ht="19.95" customHeight="1">
      <c r="A10" s="53">
        <v>6</v>
      </c>
      <c r="B10" s="41" t="s">
        <v>16</v>
      </c>
      <c r="C10" s="52">
        <v>43995</v>
      </c>
      <c r="D10" s="52">
        <v>43995</v>
      </c>
      <c r="E10" s="23">
        <v>340</v>
      </c>
      <c r="F10" s="55" t="s">
        <v>17</v>
      </c>
      <c r="G10" s="52">
        <v>44065</v>
      </c>
      <c r="H10" s="52">
        <v>44065</v>
      </c>
      <c r="I10" s="23">
        <v>370</v>
      </c>
      <c r="K10" s="52">
        <v>44135</v>
      </c>
      <c r="L10" s="52">
        <v>44135</v>
      </c>
      <c r="M10" s="23">
        <v>336</v>
      </c>
      <c r="O10" s="52">
        <v>44205</v>
      </c>
      <c r="P10" s="52">
        <v>44205</v>
      </c>
      <c r="Q10" s="23">
        <v>441.25</v>
      </c>
      <c r="S10" s="52">
        <v>44275</v>
      </c>
      <c r="T10" s="52">
        <v>44275</v>
      </c>
      <c r="U10" s="23">
        <v>493.75</v>
      </c>
      <c r="V10" s="55" t="s">
        <v>18</v>
      </c>
      <c r="W10" s="52">
        <v>44345</v>
      </c>
      <c r="X10" s="52">
        <v>44345</v>
      </c>
      <c r="Y10" s="23">
        <v>509</v>
      </c>
      <c r="Z10" s="55" t="s">
        <v>18</v>
      </c>
      <c r="AA10" s="60">
        <v>44415</v>
      </c>
      <c r="AB10" s="60">
        <v>44415</v>
      </c>
      <c r="AC10" s="23">
        <v>528.75</v>
      </c>
      <c r="AE10" s="52">
        <v>44485</v>
      </c>
      <c r="AF10" s="52">
        <v>44485</v>
      </c>
      <c r="AG10" s="23">
        <v>611.25</v>
      </c>
      <c r="AH10" s="55" t="s">
        <v>18</v>
      </c>
      <c r="AI10" s="60">
        <v>44555</v>
      </c>
      <c r="AJ10" s="60">
        <v>44555</v>
      </c>
      <c r="AK10" s="23">
        <v>652</v>
      </c>
      <c r="AM10" s="52">
        <v>44625</v>
      </c>
      <c r="AN10" s="52">
        <v>44625</v>
      </c>
      <c r="AO10" s="23">
        <v>739</v>
      </c>
    </row>
    <row r="11" spans="1:49" ht="19.95" customHeight="1">
      <c r="A11" s="53">
        <v>7</v>
      </c>
      <c r="B11" s="41" t="s">
        <v>19</v>
      </c>
      <c r="C11" s="52">
        <v>43999</v>
      </c>
      <c r="D11" s="52">
        <v>44000</v>
      </c>
      <c r="E11" s="23">
        <v>330.5</v>
      </c>
      <c r="G11" s="52">
        <v>44069</v>
      </c>
      <c r="H11" s="52">
        <v>44070</v>
      </c>
      <c r="I11" s="23">
        <v>354.25</v>
      </c>
      <c r="K11" s="52">
        <v>44139</v>
      </c>
      <c r="L11" s="52">
        <v>44140</v>
      </c>
      <c r="M11" s="23">
        <v>322.25</v>
      </c>
      <c r="O11" s="52">
        <v>44209</v>
      </c>
      <c r="P11" s="52">
        <v>44210</v>
      </c>
      <c r="Q11" s="23">
        <v>455.25</v>
      </c>
      <c r="S11" s="52">
        <v>44279</v>
      </c>
      <c r="T11" s="52">
        <v>44280</v>
      </c>
      <c r="U11" s="23">
        <v>486.75</v>
      </c>
      <c r="W11" s="52">
        <v>44349</v>
      </c>
      <c r="X11" s="52">
        <v>44350</v>
      </c>
      <c r="Y11" s="23">
        <v>519.5</v>
      </c>
      <c r="AA11" s="60">
        <v>44419</v>
      </c>
      <c r="AB11" s="60">
        <v>44420</v>
      </c>
      <c r="AC11" s="23">
        <v>526.5</v>
      </c>
      <c r="AE11" s="52">
        <v>44489</v>
      </c>
      <c r="AF11" s="52">
        <v>44490</v>
      </c>
      <c r="AG11" s="23">
        <v>626.25</v>
      </c>
      <c r="AI11" s="60">
        <v>44559</v>
      </c>
      <c r="AJ11" s="60">
        <v>44560</v>
      </c>
      <c r="AK11" s="23">
        <v>642.75</v>
      </c>
      <c r="AM11" s="52">
        <v>44629</v>
      </c>
      <c r="AN11" s="52">
        <v>44630</v>
      </c>
      <c r="AO11" s="23">
        <v>914.5</v>
      </c>
    </row>
    <row r="12" spans="1:49" ht="19.95" customHeight="1">
      <c r="A12" s="53">
        <v>8</v>
      </c>
      <c r="B12" s="41" t="s">
        <v>20</v>
      </c>
      <c r="C12" s="56">
        <v>44014</v>
      </c>
      <c r="D12" s="52">
        <v>44015</v>
      </c>
      <c r="E12" s="23">
        <v>350.25</v>
      </c>
      <c r="G12" s="52">
        <v>44084</v>
      </c>
      <c r="H12" s="52">
        <v>44085</v>
      </c>
      <c r="I12" s="23">
        <v>320.5</v>
      </c>
      <c r="K12" s="52">
        <v>44154</v>
      </c>
      <c r="L12" s="52">
        <v>44155</v>
      </c>
      <c r="M12" s="23">
        <v>366.5</v>
      </c>
      <c r="O12" s="52">
        <v>44224</v>
      </c>
      <c r="P12" s="52">
        <v>44225</v>
      </c>
      <c r="Q12" s="23">
        <v>452.25</v>
      </c>
      <c r="S12" s="52">
        <v>44294</v>
      </c>
      <c r="T12" s="52">
        <v>44295</v>
      </c>
      <c r="U12" s="23">
        <v>507</v>
      </c>
      <c r="W12" s="52">
        <v>44364</v>
      </c>
      <c r="X12" s="52">
        <v>44365</v>
      </c>
      <c r="Y12" s="23">
        <v>582</v>
      </c>
      <c r="AA12" s="60">
        <v>44434</v>
      </c>
      <c r="AB12" s="60">
        <v>44435</v>
      </c>
      <c r="AC12" s="23">
        <v>570.5</v>
      </c>
      <c r="AE12" s="54">
        <v>44504</v>
      </c>
      <c r="AF12" s="52">
        <v>44505</v>
      </c>
      <c r="AG12" s="23">
        <v>676</v>
      </c>
      <c r="AI12" s="60">
        <v>44574</v>
      </c>
      <c r="AJ12" s="60">
        <v>44575</v>
      </c>
      <c r="AK12" s="23">
        <v>675.75</v>
      </c>
      <c r="AM12" s="52">
        <v>44644</v>
      </c>
      <c r="AN12" s="52">
        <v>44645</v>
      </c>
      <c r="AO12" s="23">
        <v>1092.75</v>
      </c>
    </row>
    <row r="13" spans="1:49" ht="19.95" customHeight="1">
      <c r="A13" s="53">
        <v>9</v>
      </c>
      <c r="B13" s="58" t="s">
        <v>21</v>
      </c>
      <c r="C13" s="52">
        <v>44017</v>
      </c>
      <c r="D13" s="52">
        <v>44019</v>
      </c>
      <c r="E13" s="23">
        <v>364.75</v>
      </c>
      <c r="F13" s="59" t="s">
        <v>22</v>
      </c>
      <c r="G13" s="52">
        <v>44087</v>
      </c>
      <c r="H13" s="52">
        <v>44089</v>
      </c>
      <c r="I13" s="23">
        <v>314.25</v>
      </c>
      <c r="K13" s="52">
        <v>44157</v>
      </c>
      <c r="L13" s="52">
        <v>44159</v>
      </c>
      <c r="M13" s="23">
        <v>375.5</v>
      </c>
      <c r="O13" s="52">
        <v>44227</v>
      </c>
      <c r="P13" s="52">
        <v>44229</v>
      </c>
      <c r="Q13" s="23">
        <v>457.25</v>
      </c>
      <c r="S13" s="52">
        <v>44297</v>
      </c>
      <c r="T13" s="52">
        <v>44299</v>
      </c>
      <c r="U13" s="23">
        <v>508.25</v>
      </c>
      <c r="W13" s="52">
        <v>44367</v>
      </c>
      <c r="X13" s="52">
        <v>44369</v>
      </c>
      <c r="Y13" s="23">
        <v>581.75</v>
      </c>
      <c r="AA13" s="60">
        <v>44437</v>
      </c>
      <c r="AB13" s="60">
        <v>44439</v>
      </c>
      <c r="AC13" s="23">
        <v>575.75</v>
      </c>
      <c r="AE13" s="52">
        <v>44507</v>
      </c>
      <c r="AF13" s="52">
        <v>44509</v>
      </c>
      <c r="AG13" s="23">
        <v>672.25</v>
      </c>
      <c r="AI13" s="60">
        <v>44577</v>
      </c>
      <c r="AJ13" s="60">
        <v>44579</v>
      </c>
      <c r="AK13" s="23">
        <v>690</v>
      </c>
      <c r="AM13" s="52">
        <v>44647</v>
      </c>
      <c r="AN13" s="52">
        <v>44649</v>
      </c>
      <c r="AO13" s="23">
        <v>1192.25</v>
      </c>
    </row>
    <row r="14" spans="1:49" ht="19.95" customHeight="1">
      <c r="A14" s="53">
        <v>10</v>
      </c>
      <c r="B14" s="58" t="s">
        <v>23</v>
      </c>
      <c r="C14" s="52">
        <v>44019</v>
      </c>
      <c r="D14" s="52">
        <v>44021</v>
      </c>
      <c r="E14" s="23">
        <v>352.5</v>
      </c>
      <c r="F14" s="59" t="s">
        <v>24</v>
      </c>
      <c r="G14" s="52">
        <v>44089</v>
      </c>
      <c r="H14" s="54">
        <v>44091</v>
      </c>
      <c r="I14" s="23">
        <v>368</v>
      </c>
      <c r="K14" s="52">
        <v>44159</v>
      </c>
      <c r="L14" s="52">
        <v>44161</v>
      </c>
      <c r="M14" s="23">
        <v>349.75</v>
      </c>
      <c r="O14" s="52">
        <v>44229</v>
      </c>
      <c r="P14" s="52">
        <v>44231</v>
      </c>
      <c r="Q14" s="23">
        <v>476</v>
      </c>
      <c r="S14" s="52">
        <v>44299</v>
      </c>
      <c r="T14" s="52">
        <v>44301</v>
      </c>
      <c r="U14" s="23">
        <v>508</v>
      </c>
      <c r="W14" s="54">
        <v>44369</v>
      </c>
      <c r="X14" s="52">
        <v>44371</v>
      </c>
      <c r="Y14" s="23">
        <v>541</v>
      </c>
      <c r="AA14" s="60">
        <v>44439</v>
      </c>
      <c r="AB14" s="60">
        <v>44441</v>
      </c>
      <c r="AC14" s="23">
        <v>838</v>
      </c>
      <c r="AE14" s="52">
        <v>44509</v>
      </c>
      <c r="AF14" s="52">
        <v>44511</v>
      </c>
      <c r="AG14" s="23">
        <v>679</v>
      </c>
      <c r="AI14" s="60">
        <v>44579</v>
      </c>
      <c r="AJ14" s="60">
        <v>44581</v>
      </c>
      <c r="AK14" s="23">
        <v>699.25</v>
      </c>
      <c r="AM14" s="52">
        <v>44649</v>
      </c>
      <c r="AN14" s="52">
        <v>44651</v>
      </c>
      <c r="AO14" s="23">
        <v>1029.5</v>
      </c>
    </row>
    <row r="15" spans="1:49" ht="19.95" customHeight="1">
      <c r="A15" s="53">
        <v>11</v>
      </c>
      <c r="B15" s="58" t="s">
        <v>25</v>
      </c>
      <c r="C15" s="52">
        <v>44022</v>
      </c>
      <c r="D15" s="52">
        <v>44023</v>
      </c>
      <c r="E15" s="23">
        <v>336.75</v>
      </c>
      <c r="F15" s="59" t="s">
        <v>24</v>
      </c>
      <c r="G15" s="52">
        <v>44092</v>
      </c>
      <c r="H15" s="52">
        <v>44093</v>
      </c>
      <c r="I15" s="23">
        <v>374</v>
      </c>
      <c r="K15" s="52">
        <v>44162</v>
      </c>
      <c r="L15" s="52">
        <v>44161</v>
      </c>
      <c r="M15" s="23">
        <v>355</v>
      </c>
      <c r="O15" s="52">
        <v>44232</v>
      </c>
      <c r="P15" s="52">
        <v>44233</v>
      </c>
      <c r="Q15" s="23">
        <v>475</v>
      </c>
      <c r="S15" s="52">
        <v>44302</v>
      </c>
      <c r="T15" s="52">
        <v>44303</v>
      </c>
      <c r="U15" s="23">
        <v>525</v>
      </c>
      <c r="W15" s="52">
        <v>44372</v>
      </c>
      <c r="X15" s="52">
        <v>44373</v>
      </c>
      <c r="Y15" s="23">
        <v>552</v>
      </c>
      <c r="AA15" s="60">
        <v>44442</v>
      </c>
      <c r="AB15" s="60">
        <v>44443</v>
      </c>
      <c r="AC15" s="23">
        <v>851</v>
      </c>
      <c r="AE15" s="52">
        <v>44512</v>
      </c>
      <c r="AF15" s="52">
        <v>44513</v>
      </c>
      <c r="AG15" s="23">
        <v>673</v>
      </c>
      <c r="AI15" s="60">
        <v>44582</v>
      </c>
      <c r="AJ15" s="60">
        <v>44583</v>
      </c>
      <c r="AK15" s="23">
        <v>693</v>
      </c>
      <c r="AM15" s="52">
        <v>44652</v>
      </c>
      <c r="AN15" s="52">
        <v>44653</v>
      </c>
      <c r="AO15" s="23">
        <v>1065</v>
      </c>
    </row>
    <row r="16" spans="1:49" ht="19.95" customHeight="1">
      <c r="A16" s="53">
        <v>12</v>
      </c>
      <c r="B16" s="58" t="s">
        <v>26</v>
      </c>
      <c r="C16" s="52">
        <v>44024</v>
      </c>
      <c r="D16" s="52">
        <v>44025</v>
      </c>
      <c r="E16" s="23">
        <v>343</v>
      </c>
      <c r="F16" s="59" t="s">
        <v>24</v>
      </c>
      <c r="G16" s="52">
        <v>44094</v>
      </c>
      <c r="H16" s="52">
        <v>44095</v>
      </c>
      <c r="I16" s="23">
        <v>374</v>
      </c>
      <c r="K16" s="52">
        <v>44164</v>
      </c>
      <c r="L16" s="52">
        <v>44165</v>
      </c>
      <c r="M16" s="23">
        <v>355</v>
      </c>
      <c r="O16" s="52">
        <v>44234</v>
      </c>
      <c r="P16" s="52">
        <v>44235</v>
      </c>
      <c r="Q16" s="23">
        <v>475</v>
      </c>
      <c r="S16" s="52">
        <v>44304</v>
      </c>
      <c r="T16" s="52">
        <v>44305</v>
      </c>
      <c r="U16" s="23">
        <v>517.25</v>
      </c>
      <c r="W16" s="52">
        <v>44374</v>
      </c>
      <c r="X16" s="52">
        <v>44375</v>
      </c>
      <c r="Y16" s="23">
        <v>585</v>
      </c>
      <c r="AA16" s="60">
        <v>44444</v>
      </c>
      <c r="AB16" s="60">
        <v>44445</v>
      </c>
      <c r="AC16" s="23">
        <v>570</v>
      </c>
      <c r="AE16" s="52">
        <v>44514</v>
      </c>
      <c r="AF16" s="52">
        <v>44515</v>
      </c>
      <c r="AG16" s="23">
        <v>673</v>
      </c>
      <c r="AI16" s="60">
        <v>44584</v>
      </c>
      <c r="AJ16" s="60">
        <v>44585</v>
      </c>
      <c r="AK16" s="23">
        <v>706.5</v>
      </c>
      <c r="AM16" s="52">
        <v>44654</v>
      </c>
      <c r="AN16" s="52">
        <v>44655</v>
      </c>
      <c r="AO16" s="23">
        <v>1062.25</v>
      </c>
    </row>
    <row r="17" spans="1:41" ht="19.95" customHeight="1">
      <c r="A17" s="53">
        <v>13</v>
      </c>
      <c r="B17" s="46" t="s">
        <v>20</v>
      </c>
      <c r="C17" s="52">
        <v>44029</v>
      </c>
      <c r="D17" s="52">
        <v>44030</v>
      </c>
      <c r="E17" s="23">
        <v>368.5</v>
      </c>
      <c r="G17" s="52">
        <v>44099</v>
      </c>
      <c r="H17" s="52">
        <v>44100</v>
      </c>
      <c r="I17" s="23">
        <v>326.25</v>
      </c>
      <c r="K17" s="52">
        <v>44169</v>
      </c>
      <c r="L17" s="52">
        <v>44170</v>
      </c>
      <c r="M17" s="23">
        <v>405.25</v>
      </c>
      <c r="O17" s="52">
        <v>44239</v>
      </c>
      <c r="P17" s="52">
        <v>44240</v>
      </c>
      <c r="Q17" s="23">
        <v>505.5</v>
      </c>
      <c r="S17" s="52">
        <v>44309</v>
      </c>
      <c r="T17" s="52">
        <v>44310</v>
      </c>
      <c r="U17" s="23">
        <v>526.75</v>
      </c>
      <c r="W17" s="52">
        <v>44379</v>
      </c>
      <c r="X17" s="52">
        <v>44380</v>
      </c>
      <c r="Y17" s="23">
        <v>606</v>
      </c>
      <c r="AA17" s="60">
        <v>44449</v>
      </c>
      <c r="AB17" s="60">
        <v>44450</v>
      </c>
      <c r="AC17" s="23">
        <v>584.25</v>
      </c>
      <c r="AE17" s="52">
        <v>44519</v>
      </c>
      <c r="AF17" s="52">
        <v>44520</v>
      </c>
      <c r="AG17" s="23">
        <v>638.5</v>
      </c>
      <c r="AI17" s="60">
        <v>44589</v>
      </c>
      <c r="AJ17" s="60">
        <v>44590</v>
      </c>
      <c r="AK17" s="23">
        <v>742.25</v>
      </c>
      <c r="AM17" s="52">
        <v>44659</v>
      </c>
      <c r="AN17" s="52">
        <v>44660</v>
      </c>
      <c r="AO17" s="23">
        <v>1015.5</v>
      </c>
    </row>
    <row r="18" spans="1:41" ht="19.95" customHeight="1">
      <c r="A18" s="53">
        <v>14</v>
      </c>
      <c r="B18" s="46" t="s">
        <v>27</v>
      </c>
      <c r="C18" s="52">
        <v>44041</v>
      </c>
      <c r="D18" s="52">
        <v>44042</v>
      </c>
      <c r="E18" s="23">
        <v>388.5</v>
      </c>
      <c r="G18" s="52">
        <v>44106</v>
      </c>
      <c r="H18" s="52">
        <v>44107</v>
      </c>
      <c r="I18" s="23">
        <v>355</v>
      </c>
      <c r="K18" s="52">
        <v>44181</v>
      </c>
      <c r="L18" s="52">
        <v>44182</v>
      </c>
      <c r="M18" s="23">
        <v>443</v>
      </c>
      <c r="O18" s="52">
        <v>44251</v>
      </c>
      <c r="P18" s="52">
        <v>44252</v>
      </c>
      <c r="Q18" s="23">
        <v>564.25</v>
      </c>
      <c r="S18" s="52">
        <v>44321</v>
      </c>
      <c r="T18" s="52">
        <v>44322</v>
      </c>
      <c r="U18" s="23">
        <v>568.25</v>
      </c>
      <c r="W18" s="52">
        <v>44391</v>
      </c>
      <c r="X18" s="52">
        <v>44392</v>
      </c>
      <c r="Y18" s="23">
        <v>585.75</v>
      </c>
      <c r="AA18" s="60">
        <v>44461</v>
      </c>
      <c r="AB18" s="60">
        <v>44462</v>
      </c>
      <c r="AC18" s="23">
        <v>612.75</v>
      </c>
      <c r="AE18" s="52">
        <v>44531</v>
      </c>
      <c r="AF18" s="52">
        <v>44532</v>
      </c>
      <c r="AG18" s="23">
        <v>661.25</v>
      </c>
      <c r="AI18" s="60">
        <v>44601</v>
      </c>
      <c r="AJ18" s="60">
        <v>44602</v>
      </c>
      <c r="AK18" s="55">
        <v>752.5</v>
      </c>
      <c r="AM18" s="52">
        <v>44671</v>
      </c>
      <c r="AN18" s="52">
        <v>44672</v>
      </c>
      <c r="AO18" s="23">
        <v>934.75</v>
      </c>
    </row>
    <row r="19" spans="1:41" ht="19.95" customHeight="1">
      <c r="A19" s="53">
        <v>15</v>
      </c>
      <c r="B19" s="46" t="s">
        <v>28</v>
      </c>
      <c r="C19" s="52">
        <v>44046</v>
      </c>
      <c r="D19" s="52">
        <v>44047</v>
      </c>
      <c r="E19" s="23">
        <v>340.75</v>
      </c>
      <c r="G19" s="52">
        <v>44111</v>
      </c>
      <c r="H19" s="52">
        <v>44112</v>
      </c>
      <c r="I19" s="23">
        <v>341.25</v>
      </c>
      <c r="K19" s="52">
        <v>44186</v>
      </c>
      <c r="L19" s="52">
        <v>44187</v>
      </c>
      <c r="M19" s="23">
        <v>396.75</v>
      </c>
      <c r="O19" s="54">
        <v>44256</v>
      </c>
      <c r="P19" s="52">
        <v>44257</v>
      </c>
      <c r="Q19" s="23">
        <v>502</v>
      </c>
      <c r="S19" s="52">
        <v>44326</v>
      </c>
      <c r="T19" s="52">
        <v>44327</v>
      </c>
      <c r="U19" s="23">
        <v>504</v>
      </c>
      <c r="W19" s="52">
        <v>44396</v>
      </c>
      <c r="X19" s="54">
        <v>44397</v>
      </c>
      <c r="Y19" s="23">
        <v>526.25</v>
      </c>
      <c r="AA19" s="60">
        <v>44466</v>
      </c>
      <c r="AB19" s="60">
        <v>44467</v>
      </c>
      <c r="AC19" s="23">
        <v>577</v>
      </c>
      <c r="AE19" s="52">
        <v>44536</v>
      </c>
      <c r="AF19" s="52">
        <v>44537</v>
      </c>
      <c r="AG19" s="23">
        <v>596.5</v>
      </c>
      <c r="AI19" s="60">
        <v>44606</v>
      </c>
      <c r="AJ19" s="60">
        <v>44607</v>
      </c>
      <c r="AK19" s="23">
        <v>759</v>
      </c>
      <c r="AM19" s="52">
        <v>44676</v>
      </c>
      <c r="AN19" s="52">
        <v>44677</v>
      </c>
      <c r="AO19" s="23">
        <v>868</v>
      </c>
    </row>
    <row r="20" spans="1:41" ht="19.95" customHeight="1">
      <c r="A20" s="53">
        <v>16</v>
      </c>
      <c r="B20" s="41" t="s">
        <v>15</v>
      </c>
      <c r="C20" s="52">
        <v>44051</v>
      </c>
      <c r="D20" s="52">
        <v>44052</v>
      </c>
      <c r="E20" s="23">
        <v>342.25</v>
      </c>
      <c r="G20" s="52">
        <v>44116</v>
      </c>
      <c r="H20" s="52">
        <v>44117</v>
      </c>
      <c r="I20" s="23">
        <v>325.75</v>
      </c>
      <c r="K20" s="52">
        <v>44191</v>
      </c>
      <c r="L20" s="52">
        <v>44192</v>
      </c>
      <c r="M20" s="23">
        <v>414.5</v>
      </c>
      <c r="O20" s="52">
        <v>44261</v>
      </c>
      <c r="P20" s="52">
        <v>44262</v>
      </c>
      <c r="Q20" s="23">
        <v>526</v>
      </c>
      <c r="S20" s="52">
        <v>44331</v>
      </c>
      <c r="T20" s="52">
        <v>44332</v>
      </c>
      <c r="U20" s="23">
        <v>515.75</v>
      </c>
      <c r="W20" s="52">
        <v>44401</v>
      </c>
      <c r="X20" s="52">
        <v>44402</v>
      </c>
      <c r="Y20" s="23">
        <v>541</v>
      </c>
      <c r="AA20" s="60">
        <v>44471</v>
      </c>
      <c r="AB20" s="60">
        <v>44472</v>
      </c>
      <c r="AC20" s="23">
        <v>554.25</v>
      </c>
      <c r="AE20" s="52">
        <v>44541</v>
      </c>
      <c r="AF20" s="52">
        <v>44542</v>
      </c>
      <c r="AG20" s="23">
        <v>601.57000000000005</v>
      </c>
      <c r="AI20" s="60">
        <v>44611</v>
      </c>
      <c r="AJ20" s="60">
        <v>44612</v>
      </c>
      <c r="AK20" s="23">
        <v>728.75</v>
      </c>
      <c r="AM20" s="52">
        <v>44681</v>
      </c>
      <c r="AN20" s="52">
        <v>44682</v>
      </c>
      <c r="AO20" s="23">
        <v>875.25</v>
      </c>
    </row>
    <row r="21" spans="1:41" ht="19.95" customHeight="1">
      <c r="A21" s="53">
        <v>17</v>
      </c>
      <c r="B21" s="41" t="s">
        <v>11</v>
      </c>
      <c r="C21" s="52">
        <v>44055</v>
      </c>
      <c r="E21" s="23">
        <v>362</v>
      </c>
      <c r="G21" s="52">
        <v>44125</v>
      </c>
      <c r="I21" s="23">
        <v>356.5</v>
      </c>
      <c r="K21" s="52">
        <v>44195</v>
      </c>
      <c r="M21" s="23">
        <v>439.5</v>
      </c>
      <c r="O21" s="52">
        <v>44265</v>
      </c>
      <c r="Q21" s="23">
        <v>543.25</v>
      </c>
      <c r="S21" s="52">
        <v>44335</v>
      </c>
      <c r="U21" s="23">
        <v>507.75</v>
      </c>
      <c r="W21" s="52">
        <v>44405</v>
      </c>
      <c r="Y21" s="23">
        <v>555.25</v>
      </c>
      <c r="AA21" s="60">
        <v>44475</v>
      </c>
      <c r="AC21" s="23">
        <v>616.75</v>
      </c>
      <c r="AE21" s="52">
        <v>44545</v>
      </c>
      <c r="AG21" s="23">
        <v>614.25</v>
      </c>
      <c r="AI21" s="60">
        <v>44615</v>
      </c>
      <c r="AK21" s="23">
        <v>742.75</v>
      </c>
      <c r="AM21" s="52">
        <v>44685</v>
      </c>
      <c r="AO21" s="23">
        <v>921.75</v>
      </c>
    </row>
  </sheetData>
  <sheetProtection formatCells="0" insertHyperlinks="0" autoFilter="0"/>
  <autoFilter ref="O4:Q21" xr:uid="{00000000-0009-0000-0000-000000000000}"/>
  <mergeCells count="3">
    <mergeCell ref="A1:I1"/>
    <mergeCell ref="A2:I2"/>
    <mergeCell ref="A3:I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workbookViewId="0">
      <selection activeCell="H15" sqref="H15"/>
    </sheetView>
  </sheetViews>
  <sheetFormatPr defaultColWidth="9" defaultRowHeight="14.4"/>
  <cols>
    <col min="1" max="1" width="6.6640625" style="23" customWidth="1"/>
    <col min="2" max="2" width="26.6640625" style="23" customWidth="1"/>
    <col min="3" max="3" width="9.6640625" style="23" customWidth="1"/>
    <col min="4" max="17" width="8.6640625" style="23" customWidth="1"/>
    <col min="18" max="18" width="9.6640625" style="23" customWidth="1"/>
    <col min="19" max="20" width="9" style="23"/>
    <col min="21" max="21" width="26.6640625" style="23" customWidth="1"/>
    <col min="22" max="22" width="9.6640625" style="23"/>
    <col min="23" max="16384" width="9" style="23"/>
  </cols>
  <sheetData>
    <row r="1" spans="1:22" ht="34.049999999999997" customHeight="1">
      <c r="A1" s="69" t="s">
        <v>29</v>
      </c>
      <c r="B1" s="70"/>
      <c r="C1" s="70"/>
      <c r="D1" s="2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35"/>
      <c r="T1" s="40"/>
      <c r="U1" s="40"/>
      <c r="V1" s="40"/>
    </row>
    <row r="2" spans="1:22" ht="22.05" customHeight="1">
      <c r="A2" s="26" t="s">
        <v>30</v>
      </c>
      <c r="B2" s="26" t="s">
        <v>31</v>
      </c>
      <c r="C2" s="26" t="s">
        <v>32</v>
      </c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35"/>
      <c r="T2" s="40"/>
      <c r="U2" s="41"/>
      <c r="V2" s="42"/>
    </row>
    <row r="3" spans="1:22" ht="22.05" customHeight="1">
      <c r="A3" s="26" t="s">
        <v>33</v>
      </c>
      <c r="B3" s="29" t="s">
        <v>34</v>
      </c>
      <c r="C3" s="30">
        <v>425.72</v>
      </c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5"/>
      <c r="T3" s="40"/>
      <c r="U3" s="41"/>
      <c r="V3" s="30"/>
    </row>
    <row r="4" spans="1:22" ht="22.05" customHeight="1">
      <c r="A4" s="26" t="s">
        <v>35</v>
      </c>
      <c r="B4" s="29" t="s">
        <v>36</v>
      </c>
      <c r="C4" s="30">
        <v>184.4</v>
      </c>
      <c r="D4" s="33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5"/>
      <c r="T4" s="40"/>
      <c r="U4" s="41"/>
      <c r="V4" s="43"/>
    </row>
    <row r="5" spans="1:22" ht="22.05" customHeight="1">
      <c r="A5" s="26" t="s">
        <v>37</v>
      </c>
      <c r="B5" s="29" t="s">
        <v>38</v>
      </c>
      <c r="C5" s="34">
        <v>546.94000000000005</v>
      </c>
      <c r="D5" s="35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5"/>
      <c r="T5" s="40"/>
      <c r="U5" s="41"/>
      <c r="V5" s="44"/>
    </row>
    <row r="6" spans="1:22" ht="22.05" customHeight="1">
      <c r="A6" s="26" t="s">
        <v>39</v>
      </c>
      <c r="B6" s="29" t="s">
        <v>40</v>
      </c>
      <c r="C6" s="34">
        <v>364.85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5"/>
      <c r="T6" s="40"/>
      <c r="U6" s="41"/>
      <c r="V6" s="45"/>
    </row>
    <row r="7" spans="1:22" ht="22.05" customHeight="1">
      <c r="A7" s="26" t="s">
        <v>41</v>
      </c>
      <c r="B7" s="29" t="s">
        <v>42</v>
      </c>
      <c r="C7" s="34">
        <v>65.95</v>
      </c>
      <c r="D7" s="31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5"/>
      <c r="T7" s="40"/>
      <c r="U7" s="41"/>
      <c r="V7" s="34"/>
    </row>
    <row r="8" spans="1:22" ht="22.05" customHeight="1">
      <c r="A8" s="26" t="s">
        <v>43</v>
      </c>
      <c r="B8" s="29" t="s">
        <v>44</v>
      </c>
      <c r="C8" s="34">
        <v>1472.57</v>
      </c>
      <c r="D8" s="31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5"/>
      <c r="T8" s="40"/>
      <c r="U8" s="41"/>
      <c r="V8" s="43"/>
    </row>
    <row r="9" spans="1:22" ht="22.05" customHeight="1">
      <c r="A9" s="26" t="s">
        <v>45</v>
      </c>
      <c r="B9" s="29" t="s">
        <v>46</v>
      </c>
      <c r="C9" s="34">
        <v>5624.05</v>
      </c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5"/>
      <c r="T9" s="40"/>
      <c r="U9" s="41"/>
      <c r="V9" s="44"/>
    </row>
    <row r="10" spans="1:22" ht="22.05" customHeight="1">
      <c r="A10" s="26" t="s">
        <v>47</v>
      </c>
      <c r="B10" s="29" t="s">
        <v>48</v>
      </c>
      <c r="C10" s="34">
        <v>895.94</v>
      </c>
      <c r="D10" s="31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5"/>
      <c r="T10" s="40"/>
      <c r="U10" s="46"/>
      <c r="V10" s="47"/>
    </row>
    <row r="11" spans="1:22" ht="22.05" customHeight="1">
      <c r="A11" s="26" t="s">
        <v>49</v>
      </c>
      <c r="B11" s="36" t="s">
        <v>50</v>
      </c>
      <c r="C11" s="37">
        <v>62.62</v>
      </c>
      <c r="D11" s="31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5"/>
      <c r="T11" s="40"/>
      <c r="U11" s="46"/>
      <c r="V11" s="44"/>
    </row>
    <row r="12" spans="1:22" ht="22.05" customHeight="1">
      <c r="A12" s="26" t="s">
        <v>51</v>
      </c>
      <c r="B12" s="36" t="s">
        <v>52</v>
      </c>
      <c r="C12" s="34">
        <v>232.39</v>
      </c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5"/>
      <c r="T12" s="40"/>
      <c r="U12" s="46"/>
      <c r="V12" s="44"/>
    </row>
    <row r="13" spans="1:22" ht="22.05" customHeight="1">
      <c r="A13" s="26" t="s">
        <v>53</v>
      </c>
      <c r="B13" s="36" t="s">
        <v>54</v>
      </c>
      <c r="C13" s="34">
        <v>353.37</v>
      </c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5"/>
      <c r="T13" s="40"/>
      <c r="U13" s="46"/>
      <c r="V13" s="44"/>
    </row>
    <row r="14" spans="1:22" ht="22.05" customHeight="1">
      <c r="A14" s="26" t="s">
        <v>55</v>
      </c>
      <c r="B14" s="36" t="s">
        <v>56</v>
      </c>
      <c r="C14" s="34">
        <v>1187.3599999999999</v>
      </c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5"/>
      <c r="T14" s="40"/>
      <c r="U14" s="46"/>
      <c r="V14" s="44"/>
    </row>
    <row r="15" spans="1:22" ht="22.05" customHeight="1">
      <c r="A15" s="26" t="s">
        <v>57</v>
      </c>
      <c r="B15" s="36" t="s">
        <v>58</v>
      </c>
      <c r="C15" s="34">
        <v>694.25</v>
      </c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5"/>
      <c r="T15" s="40"/>
      <c r="U15" s="46"/>
      <c r="V15" s="44"/>
    </row>
    <row r="16" spans="1:22" ht="22.05" customHeight="1">
      <c r="A16" s="26" t="s">
        <v>59</v>
      </c>
      <c r="B16" s="36" t="s">
        <v>60</v>
      </c>
      <c r="C16" s="34">
        <v>1596.7</v>
      </c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5"/>
      <c r="T16" s="40"/>
      <c r="U16" s="46"/>
      <c r="V16" s="48"/>
    </row>
    <row r="17" spans="1:22" ht="22.05" customHeight="1">
      <c r="A17" s="26" t="s">
        <v>61</v>
      </c>
      <c r="B17" s="36" t="s">
        <v>62</v>
      </c>
      <c r="C17" s="38">
        <v>1455.44</v>
      </c>
      <c r="D17" s="31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5"/>
      <c r="T17" s="40"/>
      <c r="U17" s="41"/>
      <c r="V17" s="39"/>
    </row>
    <row r="18" spans="1:22" ht="22.05" customHeight="1">
      <c r="A18" s="26" t="s">
        <v>63</v>
      </c>
      <c r="B18" s="29" t="s">
        <v>64</v>
      </c>
      <c r="C18" s="39">
        <v>1177.93</v>
      </c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49"/>
      <c r="S18" s="35"/>
      <c r="T18"/>
      <c r="U18" s="50"/>
      <c r="V18" s="51"/>
    </row>
    <row r="19" spans="1:22"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</row>
    <row r="20" spans="1:22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</sheetData>
  <sheetProtection formatCells="0" insertHyperlinks="0" autoFilter="0"/>
  <mergeCells count="1">
    <mergeCell ref="A1:C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D23" sqref="D23"/>
    </sheetView>
  </sheetViews>
  <sheetFormatPr defaultColWidth="8.88671875" defaultRowHeight="14.4"/>
  <cols>
    <col min="1" max="1" width="8.33203125" customWidth="1"/>
    <col min="2" max="2" width="33.6640625" customWidth="1"/>
    <col min="3" max="3" width="11.109375" customWidth="1"/>
  </cols>
  <sheetData>
    <row r="1" spans="1:3" ht="15" customHeight="1">
      <c r="A1" s="12" t="s">
        <v>30</v>
      </c>
      <c r="B1" s="12" t="s">
        <v>31</v>
      </c>
      <c r="C1" s="12" t="s">
        <v>65</v>
      </c>
    </row>
    <row r="2" spans="1:3" ht="17.399999999999999">
      <c r="A2" s="12" t="s">
        <v>33</v>
      </c>
      <c r="B2" s="13" t="s">
        <v>34</v>
      </c>
      <c r="C2" s="14">
        <v>190</v>
      </c>
    </row>
    <row r="3" spans="1:3" ht="18">
      <c r="A3" s="12" t="s">
        <v>35</v>
      </c>
      <c r="B3" s="13" t="s">
        <v>36</v>
      </c>
      <c r="C3" s="15">
        <v>190</v>
      </c>
    </row>
    <row r="4" spans="1:3" ht="18">
      <c r="A4" s="12" t="s">
        <v>37</v>
      </c>
      <c r="B4" s="13" t="s">
        <v>38</v>
      </c>
      <c r="C4" s="15">
        <v>190</v>
      </c>
    </row>
    <row r="5" spans="1:3" ht="18">
      <c r="A5" s="12" t="s">
        <v>39</v>
      </c>
      <c r="B5" s="13" t="s">
        <v>40</v>
      </c>
      <c r="C5" s="15">
        <v>190</v>
      </c>
    </row>
    <row r="6" spans="1:3" ht="18">
      <c r="A6" s="12" t="s">
        <v>41</v>
      </c>
      <c r="B6" s="13" t="s">
        <v>42</v>
      </c>
      <c r="C6" s="15">
        <v>190</v>
      </c>
    </row>
    <row r="7" spans="1:3" ht="18">
      <c r="A7" s="12" t="s">
        <v>43</v>
      </c>
      <c r="B7" s="13" t="s">
        <v>44</v>
      </c>
      <c r="C7" s="15">
        <v>760</v>
      </c>
    </row>
    <row r="8" spans="1:3" ht="18">
      <c r="A8" s="12" t="s">
        <v>45</v>
      </c>
      <c r="B8" s="13" t="s">
        <v>46</v>
      </c>
      <c r="C8" s="15">
        <v>2660</v>
      </c>
    </row>
    <row r="9" spans="1:3" ht="18">
      <c r="A9" s="12" t="s">
        <v>47</v>
      </c>
      <c r="B9" s="13" t="s">
        <v>48</v>
      </c>
      <c r="C9" s="15">
        <v>380</v>
      </c>
    </row>
    <row r="10" spans="1:3" ht="18">
      <c r="A10" s="12" t="s">
        <v>49</v>
      </c>
      <c r="B10" s="16" t="s">
        <v>50</v>
      </c>
      <c r="C10" s="17">
        <v>190</v>
      </c>
    </row>
    <row r="11" spans="1:3" ht="18">
      <c r="A11" s="12" t="s">
        <v>51</v>
      </c>
      <c r="B11" s="16" t="s">
        <v>52</v>
      </c>
      <c r="C11" s="15">
        <v>190</v>
      </c>
    </row>
    <row r="12" spans="1:3" ht="18">
      <c r="A12" s="12" t="s">
        <v>53</v>
      </c>
      <c r="B12" s="16" t="s">
        <v>54</v>
      </c>
      <c r="C12" s="15">
        <v>190</v>
      </c>
    </row>
    <row r="13" spans="1:3" ht="18">
      <c r="A13" s="12" t="s">
        <v>55</v>
      </c>
      <c r="B13" s="16" t="s">
        <v>56</v>
      </c>
      <c r="C13" s="15">
        <v>760</v>
      </c>
    </row>
    <row r="14" spans="1:3" ht="18">
      <c r="A14" s="12" t="s">
        <v>57</v>
      </c>
      <c r="B14" s="16" t="s">
        <v>58</v>
      </c>
      <c r="C14" s="15">
        <v>2090</v>
      </c>
    </row>
    <row r="15" spans="1:3" ht="18">
      <c r="A15" s="12" t="s">
        <v>59</v>
      </c>
      <c r="B15" s="16" t="s">
        <v>60</v>
      </c>
      <c r="C15" s="15">
        <v>760</v>
      </c>
    </row>
    <row r="16" spans="1:3" ht="18">
      <c r="A16" s="12" t="s">
        <v>61</v>
      </c>
      <c r="B16" s="16" t="s">
        <v>62</v>
      </c>
      <c r="C16" s="18">
        <v>760</v>
      </c>
    </row>
    <row r="17" spans="1:3" ht="18">
      <c r="A17" s="12" t="s">
        <v>63</v>
      </c>
      <c r="B17" s="13" t="s">
        <v>64</v>
      </c>
      <c r="C17" s="19">
        <v>570</v>
      </c>
    </row>
    <row r="18" spans="1:3" ht="18">
      <c r="A18" s="20"/>
      <c r="B18" s="21" t="s">
        <v>66</v>
      </c>
      <c r="C18" s="22">
        <f>SUM(C2:C17)</f>
        <v>10260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4"/>
  <sheetViews>
    <sheetView zoomScaleNormal="100" workbookViewId="0">
      <selection activeCell="L18" sqref="L18"/>
    </sheetView>
  </sheetViews>
  <sheetFormatPr defaultColWidth="9" defaultRowHeight="14.4"/>
  <cols>
    <col min="1" max="1" width="9.6640625" style="1" customWidth="1"/>
    <col min="2" max="2" width="39.21875" style="1" customWidth="1"/>
    <col min="3" max="3" width="16.5546875" style="1" customWidth="1"/>
    <col min="4" max="5" width="9" style="1"/>
    <col min="6" max="6" width="11.5546875" style="1" customWidth="1"/>
    <col min="7" max="11" width="9" style="1"/>
    <col min="12" max="12" width="11.5546875" style="1" customWidth="1"/>
    <col min="13" max="19" width="9" style="1"/>
    <col min="20" max="20" width="10.109375" style="1" customWidth="1"/>
    <col min="21" max="16384" width="9" style="1"/>
  </cols>
  <sheetData>
    <row r="1" spans="1:26" ht="21">
      <c r="A1" s="71" t="s">
        <v>67</v>
      </c>
      <c r="B1" s="71"/>
      <c r="C1" s="71"/>
    </row>
    <row r="2" spans="1:26" ht="20.399999999999999">
      <c r="A2" s="72" t="s">
        <v>68</v>
      </c>
      <c r="B2" s="72"/>
      <c r="C2" s="72"/>
    </row>
    <row r="3" spans="1:26" ht="20.399999999999999">
      <c r="A3" s="73" t="s">
        <v>69</v>
      </c>
      <c r="B3" s="73"/>
      <c r="C3" s="73"/>
    </row>
    <row r="4" spans="1:26" ht="21">
      <c r="A4" s="2" t="s">
        <v>30</v>
      </c>
      <c r="B4" s="2" t="s">
        <v>31</v>
      </c>
      <c r="C4" s="2" t="s">
        <v>65</v>
      </c>
      <c r="E4" s="1" t="s">
        <v>70</v>
      </c>
      <c r="F4" s="4">
        <f>425.72/24*7.92</f>
        <v>140.48759999999999</v>
      </c>
      <c r="G4" s="5">
        <f>184.4/24*7.92</f>
        <v>60.852000000000004</v>
      </c>
      <c r="H4" s="5">
        <f>546.94/24*7.92</f>
        <v>180.49020000000002</v>
      </c>
      <c r="I4" s="5">
        <f>364.85/24*7.92</f>
        <v>120.40050000000001</v>
      </c>
      <c r="J4" s="5">
        <f>65.95/24*7.92</f>
        <v>21.763500000000001</v>
      </c>
      <c r="K4" s="5">
        <f>1472.57/24*7.92</f>
        <v>485.94809999999995</v>
      </c>
      <c r="L4" s="5">
        <f>5624.05/24*7.92</f>
        <v>1855.9365</v>
      </c>
      <c r="M4" s="5">
        <f>895.94/24*7.92</f>
        <v>295.66020000000003</v>
      </c>
      <c r="N4" s="7">
        <f>62.62/24*7.92</f>
        <v>20.664599999999997</v>
      </c>
      <c r="O4" s="5">
        <f>232.39/24*7.92</f>
        <v>76.688699999999997</v>
      </c>
      <c r="P4" s="5">
        <f>353.37/24*7.92</f>
        <v>116.6121</v>
      </c>
      <c r="Q4" s="5">
        <f>1187.36/24*7.92</f>
        <v>391.82879999999994</v>
      </c>
      <c r="R4" s="5">
        <f>694.25/24*7.92</f>
        <v>229.10249999999999</v>
      </c>
      <c r="S4" s="5">
        <f>1596.7/24*7.92</f>
        <v>526.91100000000006</v>
      </c>
      <c r="T4" s="8">
        <f>1455.44/24*7.92</f>
        <v>480.29520000000002</v>
      </c>
      <c r="U4" s="9">
        <v>388.72</v>
      </c>
    </row>
    <row r="5" spans="1:26" ht="20.399999999999999">
      <c r="A5" s="2" t="s">
        <v>33</v>
      </c>
      <c r="B5" s="3" t="s">
        <v>34</v>
      </c>
      <c r="C5" s="4">
        <f>425.72/24*7.92</f>
        <v>140.48759999999999</v>
      </c>
      <c r="F5" s="1" t="s">
        <v>70</v>
      </c>
    </row>
    <row r="6" spans="1:26" ht="21">
      <c r="A6" s="2" t="s">
        <v>35</v>
      </c>
      <c r="B6" s="3" t="s">
        <v>36</v>
      </c>
      <c r="C6" s="5">
        <f>184.4/24*7.92</f>
        <v>60.852000000000004</v>
      </c>
    </row>
    <row r="7" spans="1:26" ht="21">
      <c r="A7" s="2" t="s">
        <v>37</v>
      </c>
      <c r="B7" s="3" t="s">
        <v>38</v>
      </c>
      <c r="C7" s="5">
        <f>546.94/24*7.92</f>
        <v>180.49020000000002</v>
      </c>
    </row>
    <row r="8" spans="1:26" ht="21">
      <c r="A8" s="2" t="s">
        <v>39</v>
      </c>
      <c r="B8" s="3" t="s">
        <v>40</v>
      </c>
      <c r="C8" s="5">
        <f>364.85/24*7.92</f>
        <v>120.40050000000001</v>
      </c>
      <c r="F8" s="23">
        <v>303</v>
      </c>
      <c r="G8" s="64">
        <v>503.2</v>
      </c>
      <c r="H8" s="64">
        <v>742.75</v>
      </c>
      <c r="J8" s="64">
        <v>742.75</v>
      </c>
      <c r="K8" s="64">
        <v>743</v>
      </c>
      <c r="L8" s="64">
        <v>748.25</v>
      </c>
      <c r="M8" s="64">
        <v>839</v>
      </c>
      <c r="N8" s="64">
        <v>837.75</v>
      </c>
      <c r="O8" s="64">
        <v>739</v>
      </c>
      <c r="P8" s="64">
        <v>914.5</v>
      </c>
      <c r="Q8" s="64">
        <v>1092.75</v>
      </c>
      <c r="R8" s="64">
        <v>1192.25</v>
      </c>
      <c r="S8" s="64">
        <v>1029.5</v>
      </c>
      <c r="T8" s="64">
        <v>1065</v>
      </c>
      <c r="U8" s="64">
        <v>1062.25</v>
      </c>
      <c r="V8" s="64">
        <v>1015.5</v>
      </c>
      <c r="W8" s="64">
        <v>934.75</v>
      </c>
      <c r="X8" s="64">
        <v>868</v>
      </c>
      <c r="Y8" s="64">
        <v>875.25</v>
      </c>
      <c r="Z8" s="64">
        <v>921.75</v>
      </c>
    </row>
    <row r="9" spans="1:26" ht="21">
      <c r="A9" s="2" t="s">
        <v>41</v>
      </c>
      <c r="B9" s="3" t="s">
        <v>42</v>
      </c>
      <c r="C9" s="5">
        <f>65.95/24*7.92</f>
        <v>21.763500000000001</v>
      </c>
      <c r="F9" s="23">
        <v>316.75</v>
      </c>
      <c r="G9" s="64">
        <v>502.875</v>
      </c>
      <c r="H9" s="64">
        <v>743</v>
      </c>
      <c r="J9" s="23">
        <v>303</v>
      </c>
      <c r="K9" s="23">
        <v>316.75</v>
      </c>
      <c r="L9" s="23">
        <v>296.5</v>
      </c>
      <c r="M9" s="23">
        <v>355</v>
      </c>
      <c r="N9" s="23">
        <v>308.75</v>
      </c>
      <c r="O9" s="23">
        <v>336</v>
      </c>
      <c r="P9" s="23">
        <v>322.25</v>
      </c>
      <c r="Q9" s="23">
        <v>320.5</v>
      </c>
      <c r="R9" s="23">
        <v>314.25</v>
      </c>
      <c r="S9" s="23">
        <v>349.75</v>
      </c>
      <c r="T9" s="23">
        <v>336.75</v>
      </c>
      <c r="U9" s="23">
        <v>343</v>
      </c>
      <c r="V9" s="23">
        <v>326.25</v>
      </c>
      <c r="W9" s="23">
        <v>355</v>
      </c>
      <c r="X9" s="23">
        <v>340.75</v>
      </c>
      <c r="Y9" s="23">
        <v>325.75</v>
      </c>
      <c r="Z9" s="23">
        <v>356.5</v>
      </c>
    </row>
    <row r="10" spans="1:26" ht="21">
      <c r="A10" s="2" t="s">
        <v>43</v>
      </c>
      <c r="B10" s="3" t="s">
        <v>44</v>
      </c>
      <c r="C10" s="5">
        <f>1472.57/24*7.92</f>
        <v>485.94809999999995</v>
      </c>
      <c r="F10" s="23">
        <v>296.5</v>
      </c>
      <c r="G10" s="64">
        <v>495.47500000000002</v>
      </c>
      <c r="H10" s="64">
        <v>748.25</v>
      </c>
    </row>
    <row r="11" spans="1:26" ht="21">
      <c r="A11" s="2" t="s">
        <v>45</v>
      </c>
      <c r="B11" s="3" t="s">
        <v>46</v>
      </c>
      <c r="C11" s="5">
        <f>5624.05/24*7.92</f>
        <v>1855.9365</v>
      </c>
      <c r="F11" s="23">
        <v>355</v>
      </c>
      <c r="G11" s="64">
        <v>527</v>
      </c>
      <c r="H11" s="64">
        <v>839</v>
      </c>
    </row>
    <row r="12" spans="1:26" ht="21">
      <c r="A12" s="2" t="s">
        <v>47</v>
      </c>
      <c r="B12" s="3" t="s">
        <v>48</v>
      </c>
      <c r="C12" s="5">
        <f>895.94/24*7.92</f>
        <v>295.66020000000003</v>
      </c>
      <c r="F12" s="23">
        <v>308.75</v>
      </c>
      <c r="G12" s="64">
        <v>497.85</v>
      </c>
      <c r="H12" s="64">
        <v>837.75</v>
      </c>
    </row>
    <row r="13" spans="1:26" ht="21">
      <c r="A13" s="2" t="s">
        <v>49</v>
      </c>
      <c r="B13" s="6" t="s">
        <v>50</v>
      </c>
      <c r="C13" s="7">
        <f>62.62/24*7.92</f>
        <v>20.664599999999997</v>
      </c>
      <c r="F13" s="23">
        <v>336</v>
      </c>
      <c r="G13" s="64">
        <v>502.1</v>
      </c>
      <c r="H13" s="64">
        <v>739</v>
      </c>
    </row>
    <row r="14" spans="1:26" ht="21">
      <c r="A14" s="2" t="s">
        <v>51</v>
      </c>
      <c r="B14" s="6" t="s">
        <v>52</v>
      </c>
      <c r="C14" s="5">
        <f>232.39/24*7.92</f>
        <v>76.688699999999997</v>
      </c>
      <c r="F14" s="23">
        <v>322.25</v>
      </c>
      <c r="G14" s="64">
        <v>517.85</v>
      </c>
      <c r="H14" s="64">
        <v>914.5</v>
      </c>
    </row>
    <row r="15" spans="1:26" ht="21">
      <c r="A15" s="2" t="s">
        <v>53</v>
      </c>
      <c r="B15" s="6" t="s">
        <v>54</v>
      </c>
      <c r="C15" s="5">
        <f>353.37/24*7.92</f>
        <v>116.6121</v>
      </c>
      <c r="F15" s="23">
        <v>320.5</v>
      </c>
      <c r="G15" s="64">
        <v>559.35</v>
      </c>
      <c r="H15" s="64">
        <v>1092.75</v>
      </c>
    </row>
    <row r="16" spans="1:26" ht="21">
      <c r="A16" s="2" t="s">
        <v>55</v>
      </c>
      <c r="B16" s="6" t="s">
        <v>56</v>
      </c>
      <c r="C16" s="5">
        <f>1187.36/24*7.92</f>
        <v>391.82879999999994</v>
      </c>
      <c r="F16" s="23">
        <v>314.25</v>
      </c>
      <c r="G16" s="64">
        <v>573.20000000000005</v>
      </c>
      <c r="H16" s="64">
        <v>1192.25</v>
      </c>
    </row>
    <row r="17" spans="1:8" ht="21">
      <c r="A17" s="2" t="s">
        <v>57</v>
      </c>
      <c r="B17" s="6" t="s">
        <v>58</v>
      </c>
      <c r="C17" s="5">
        <f>694.25/24*7.92</f>
        <v>229.10249999999999</v>
      </c>
      <c r="F17" s="23">
        <v>349.75</v>
      </c>
      <c r="G17" s="64">
        <v>584.1</v>
      </c>
      <c r="H17" s="64">
        <v>1029.5</v>
      </c>
    </row>
    <row r="18" spans="1:8" ht="21">
      <c r="A18" s="2" t="s">
        <v>59</v>
      </c>
      <c r="B18" s="6" t="s">
        <v>60</v>
      </c>
      <c r="C18" s="5">
        <f>1596.7/24*7.92</f>
        <v>526.91100000000006</v>
      </c>
      <c r="F18" s="23">
        <v>336.75</v>
      </c>
      <c r="G18" s="64">
        <v>589.97500000000002</v>
      </c>
      <c r="H18" s="64">
        <v>1065</v>
      </c>
    </row>
    <row r="19" spans="1:8" ht="21">
      <c r="A19" s="2" t="s">
        <v>61</v>
      </c>
      <c r="B19" s="6" t="s">
        <v>62</v>
      </c>
      <c r="C19" s="8">
        <f>1455.44/24*7.92</f>
        <v>480.29520000000002</v>
      </c>
      <c r="F19" s="23">
        <v>343</v>
      </c>
      <c r="G19" s="64">
        <v>566.1</v>
      </c>
      <c r="H19" s="64">
        <v>1062.25</v>
      </c>
    </row>
    <row r="20" spans="1:8" ht="21">
      <c r="A20" s="2" t="s">
        <v>63</v>
      </c>
      <c r="B20" s="3" t="s">
        <v>64</v>
      </c>
      <c r="C20" s="9">
        <v>388.72</v>
      </c>
      <c r="F20" s="23">
        <v>326.25</v>
      </c>
      <c r="G20" s="64">
        <v>571.875</v>
      </c>
      <c r="H20" s="64">
        <v>1015.5</v>
      </c>
    </row>
    <row r="21" spans="1:8" ht="21">
      <c r="A21" s="10"/>
      <c r="B21" s="3"/>
      <c r="C21" s="11">
        <f>SUM(C5:C20)</f>
        <v>5392.3615</v>
      </c>
      <c r="F21" s="23">
        <v>355</v>
      </c>
      <c r="G21" s="64">
        <v>586.6</v>
      </c>
      <c r="H21" s="64">
        <v>934.75</v>
      </c>
    </row>
    <row r="22" spans="1:8">
      <c r="F22" s="23">
        <v>340.75</v>
      </c>
      <c r="G22" s="64">
        <v>541.15</v>
      </c>
      <c r="H22" s="64">
        <v>868</v>
      </c>
    </row>
    <row r="23" spans="1:8">
      <c r="F23" s="23">
        <v>325.75</v>
      </c>
      <c r="G23" s="64">
        <v>542.50699999999995</v>
      </c>
      <c r="H23" s="64">
        <v>875.25</v>
      </c>
    </row>
    <row r="24" spans="1:8">
      <c r="F24" s="23">
        <v>356.5</v>
      </c>
      <c r="G24" s="64">
        <v>565.97500000000002</v>
      </c>
      <c r="H24" s="64">
        <v>921.75</v>
      </c>
    </row>
  </sheetData>
  <sheetProtection formatCells="0" insertHyperlinks="0" autoFilter="0"/>
  <mergeCells count="3">
    <mergeCell ref="A1:C1"/>
    <mergeCell ref="A2:C2"/>
    <mergeCell ref="A3:C3"/>
  </mergeCells>
  <pageMargins left="0.75" right="0.75" top="1" bottom="1" header="0.5" footer="0.5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" defaultRowHeight="14.4"/>
  <sheetData/>
  <sheetProtection formatCells="0" insertHyperlinks="0" autoFilter="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>
      <cellprotection/>
      <appEtDbRelations/>
    </woSheetProps>
    <woSheetProps sheetStid="2" interlineOnOff="0" interlineColor="0" isDbSheet="0" isDashBoardSheet="0">
      <cellprotection/>
      <appEtDbRelations/>
    </woSheetProps>
    <woSheetProps sheetStid="3" interlineOnOff="0" interlineColor="0" isDbSheet="0" isDashBoardSheet="0">
      <cellprotection/>
      <appEtDbRelations/>
    </woSheetProps>
    <woSheetProps sheetStid="5" interlineOnOff="0" interlineColor="0" isDbSheet="0" isDashBoardSheet="0">
      <cellprotection/>
      <appEtDbRelations/>
    </woSheetProps>
    <woSheetProps sheetStid="8" interlineOnOff="0" interlineColor="0" isDbSheet="0" isDashBoard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5"/>
  <pixelatorList sheetStid="8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油价 (2)</vt:lpstr>
      <vt:lpstr>油价</vt:lpstr>
      <vt:lpstr>距离</vt:lpstr>
      <vt:lpstr>油耗（天数）</vt:lpstr>
      <vt:lpstr>油耗（标准）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赵莲芳</dc:creator>
  <cp:lastModifiedBy>Haitao LIU</cp:lastModifiedBy>
  <dcterms:created xsi:type="dcterms:W3CDTF">2022-11-22T20:46:00Z</dcterms:created>
  <dcterms:modified xsi:type="dcterms:W3CDTF">2022-12-05T03:03:31Z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/>
  </property>
</Properties>
</file>